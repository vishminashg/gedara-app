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rticipants" sheetId="2" state="visible" r:id="rId2"/>
    <sheet xmlns:r="http://schemas.openxmlformats.org/officeDocument/2006/relationships" name="Task log" sheetId="3" state="visible" r:id="rId3"/>
    <sheet xmlns:r="http://schemas.openxmlformats.org/officeDocument/2006/relationships" name="SUS" sheetId="4" state="visible" r:id="rId4"/>
    <sheet xmlns:r="http://schemas.openxmlformats.org/officeDocument/2006/relationships" name="Issues" sheetId="5" state="visible" r:id="rId5"/>
    <sheet xmlns:r="http://schemas.openxmlformats.org/officeDocument/2006/relationships" name="Fix log" sheetId="6" state="visible" r:id="rId6"/>
    <sheet xmlns:r="http://schemas.openxmlformats.org/officeDocument/2006/relationships" name="Summary" sheetId="7" state="visible" r:id="rId7"/>
    <sheet xmlns:r="http://schemas.openxmlformats.org/officeDocument/2006/relationships" name="Before-After" sheetId="8" state="visible" r:id="rId8"/>
    <sheet xmlns:r="http://schemas.openxmlformats.org/officeDocument/2006/relationships" name="Lists" sheetId="9" state="hidden" r:id="rId9"/>
  </sheets>
  <definedNames>
    <definedName name="_xlnm._FilterDatabase" localSheetId="2" hidden="1">'Task log'!$A$1:$H$151</definedName>
  </definedNames>
  <calcPr calcId="124519" fullCalcOnLoad="1"/>
</workbook>
</file>

<file path=xl/styles.xml><?xml version="1.0" encoding="utf-8"?>
<styleSheet xmlns="http://schemas.openxmlformats.org/spreadsheetml/2006/main">
  <numFmts count="2">
    <numFmt numFmtId="164" formatCode="dd mmm yyyy"/>
    <numFmt numFmtId="165" formatCode="0.0"/>
  </numFmts>
  <fonts count="6">
    <font>
      <name val="Calibri"/>
      <family val="2"/>
      <color theme="1"/>
      <sz val="11"/>
      <scheme val="minor"/>
    </font>
    <font>
      <name val="Arial"/>
      <sz val="10"/>
    </font>
    <font>
      <name val="Arial"/>
      <b val="1"/>
      <color rgb="00184F95"/>
      <sz val="14"/>
    </font>
    <font>
      <name val="Arial"/>
      <b val="1"/>
      <color rgb="00AA3029"/>
      <sz val="10"/>
    </font>
    <font>
      <name val="Arial"/>
      <b val="1"/>
      <sz val="10"/>
    </font>
    <font>
      <name val="Arial"/>
      <b val="1"/>
      <color rgb="00FFFFFF"/>
      <sz val="10"/>
    </font>
  </fonts>
  <fills count="6">
    <fill>
      <patternFill/>
    </fill>
    <fill>
      <patternFill patternType="gray125"/>
    </fill>
    <fill>
      <patternFill patternType="solid">
        <fgColor rgb="00184F95"/>
      </patternFill>
    </fill>
    <fill>
      <patternFill patternType="solid">
        <fgColor rgb="00F6F6F4"/>
      </patternFill>
    </fill>
    <fill>
      <patternFill patternType="solid">
        <fgColor rgb="00FFF4C2"/>
      </patternFill>
    </fill>
    <fill>
      <patternFill patternType="solid">
        <fgColor rgb="00E3EEF9"/>
      </patternFill>
    </fill>
  </fills>
  <borders count="2">
    <border>
      <left/>
      <right/>
      <top/>
      <bottom/>
      <diagonal/>
    </border>
    <border>
      <left style="thin">
        <color rgb="00D9D9D3"/>
      </left>
      <right style="thin">
        <color rgb="00D9D9D3"/>
      </right>
      <top style="thin">
        <color rgb="00D9D9D3"/>
      </top>
      <bottom style="thin">
        <color rgb="00D9D9D3"/>
      </bottom>
    </border>
  </borders>
  <cellStyleXfs count="1">
    <xf numFmtId="0" fontId="0" fillId="0" borderId="0"/>
  </cellStyleXfs>
  <cellXfs count="30">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4" fillId="3" borderId="1" pivotButton="0" quotePrefix="0" xfId="0"/>
    <xf numFmtId="0" fontId="1" fillId="4" borderId="1" pivotButton="0" quotePrefix="0" xfId="0"/>
    <xf numFmtId="164" fontId="1" fillId="4" borderId="1" pivotButton="0" quotePrefix="0" xfId="0"/>
    <xf numFmtId="0" fontId="1" fillId="0" borderId="1" pivotButton="0" quotePrefix="0" xfId="0"/>
    <xf numFmtId="0" fontId="1" fillId="4" borderId="1" applyAlignment="1" pivotButton="0" quotePrefix="0" xfId="0">
      <alignment vertical="top" wrapText="1"/>
    </xf>
    <xf numFmtId="0" fontId="1" fillId="0" borderId="0" pivotButton="0" quotePrefix="0" xfId="0"/>
    <xf numFmtId="0" fontId="1" fillId="3" borderId="1" pivotButton="0" quotePrefix="0" xfId="0"/>
    <xf numFmtId="165" fontId="1" fillId="0" borderId="1" pivotButton="0" quotePrefix="0" xfId="0"/>
    <xf numFmtId="0" fontId="4" fillId="0" borderId="0" pivotButton="0" quotePrefix="0" xfId="0"/>
    <xf numFmtId="165" fontId="4" fillId="0" borderId="0" pivotButton="0" quotePrefix="0" xfId="0"/>
    <xf numFmtId="0" fontId="1" fillId="0" borderId="1" applyAlignment="1" pivotButton="0" quotePrefix="0" xfId="0">
      <alignment vertical="top" wrapText="1"/>
    </xf>
    <xf numFmtId="164" fontId="1" fillId="4" borderId="1" applyAlignment="1" pivotButton="0" quotePrefix="0" xfId="0">
      <alignment vertical="top" wrapText="1"/>
    </xf>
    <xf numFmtId="0" fontId="4" fillId="0" borderId="1" pivotButton="0" quotePrefix="0" xfId="0"/>
    <xf numFmtId="9" fontId="1" fillId="0" borderId="1" pivotButton="0" quotePrefix="0" xfId="0"/>
    <xf numFmtId="1" fontId="1" fillId="0" borderId="1" pivotButton="0" quotePrefix="0" xfId="0"/>
    <xf numFmtId="9" fontId="1" fillId="5" borderId="1" pivotButton="0" quotePrefix="0" xfId="0"/>
    <xf numFmtId="0" fontId="1" fillId="5" borderId="1" pivotButton="0" quotePrefix="0" xfId="0"/>
    <xf numFmtId="0" fontId="1" fillId="3" borderId="1" applyAlignment="1" pivotButton="0" quotePrefix="0" xfId="0">
      <alignment vertical="top" wrapText="1"/>
    </xf>
    <xf numFmtId="9" fontId="1" fillId="3" borderId="1" pivotButton="0" quotePrefix="0" xfId="0"/>
    <xf numFmtId="1" fontId="1" fillId="3" borderId="1" pivotButton="0" quotePrefix="0" xfId="0"/>
    <xf numFmtId="165" fontId="1" fillId="3" borderId="1" pivotButton="0" quotePrefix="0" xfId="0"/>
    <xf numFmtId="0" fontId="2" fillId="0" borderId="0" pivotButton="0" quotePrefix="0" xfId="0"/>
    <xf numFmtId="9" fontId="1" fillId="4" borderId="1" pivotButton="0" quotePrefix="0" xfId="0"/>
    <xf numFmtId="165" fontId="0" fillId="4" borderId="1" pivotButton="0" quotePrefix="0" xfId="0"/>
  </cellXfs>
  <cellStyles count="1">
    <cellStyle name="Normal" xfId="0" builtinId="0" hidden="0"/>
  </cellStyles>
  <dxfs count="4">
    <dxf>
      <fill>
        <patternFill patternType="solid">
          <bgColor rgb="00D6EFE0"/>
        </patternFill>
      </fill>
    </dxf>
    <dxf>
      <fill>
        <patternFill patternType="solid">
          <bgColor rgb="00F8D7D3"/>
        </patternFill>
      </fill>
    </dxf>
    <dxf>
      <fill>
        <patternFill patternType="solid">
          <bgColor rgb="00FDE9C8"/>
        </patternFill>
      </fill>
    </dxf>
    <dxf>
      <fill>
        <patternFill patternType="solid">
          <bgColor rgb="00E3EEF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5" customWidth="1" min="1" max="1"/>
  </cols>
  <sheetData>
    <row r="1">
      <c r="A1" s="1" t="inlineStr">
        <is>
          <t>IT3060 Milestone 03 – Gedara usability test results workbook (working app)</t>
        </is>
      </c>
    </row>
    <row r="2">
      <c r="A2" s="2" t="inlineStr">
        <is>
          <t>This workbook is EMPTY. Every number in it must come from a real session with a real participant. Never invent participants, times, ratings or issues.</t>
        </is>
      </c>
    </row>
    <row r="3">
      <c r="A3" s="3" t="inlineStr"/>
    </row>
    <row r="4">
      <c r="A4" s="4" t="inlineStr">
        <is>
          <t>How to use</t>
        </is>
      </c>
    </row>
    <row r="5">
      <c r="A5" s="3" t="inlineStr">
        <is>
          <t>1. Participants: one row per real participant, using the anonymous code U1, U2, … (yellow cells). Do not type names. Record consent and whether the session was recorded.</t>
        </is>
      </c>
    </row>
    <row r="6">
      <c r="A6" s="3" t="inlineStr">
        <is>
          <t>2. Task log: one row per participant × task is already listed (U1 to U10, T1 to T10). Fill Outcome, Time, Errors, Hints and SEQ only for tasks the participant actually attempted. Leave all other rows blank: blank rows are not counted. Extra rows (yellow, below the grid) can be used for repeated attempts or a participant above U10.</t>
        </is>
      </c>
    </row>
    <row r="7">
      <c r="A7" s="3" t="inlineStr">
        <is>
          <t>3. SUS: type each participant's 10 answers (1 to 5). The score (0 to 100) is calculated.</t>
        </is>
      </c>
    </row>
    <row r="8">
      <c r="A8" s="3" t="inlineStr">
        <is>
          <t>4. Issues: log every problem seen, with the task, the screen, a severity (High, Medium, Low), the participants affected and the requirement.</t>
        </is>
      </c>
    </row>
    <row r="9">
      <c r="A9" s="3" t="inlineStr">
        <is>
          <t>5. Fix log: the Issue ID, where it was found and the severity come from the Issues sheet. You add what was fixed, when, and the retest result.</t>
        </is>
      </c>
    </row>
    <row r="10">
      <c r="A10" s="3" t="inlineStr">
        <is>
          <t>6. Summary: calculated automatically (N, success rate, median time, mean errors, mean SEQ per task, SUS mean, pass or fail against the targets). Copy its numbers into the report.</t>
        </is>
      </c>
    </row>
    <row r="11">
      <c r="A11" s="3" t="inlineStr">
        <is>
          <t>7. Before-After: Round 1 numbers come from the Summary. Enter the retest numbers only if a real retest was run after the fixes.</t>
        </is>
      </c>
    </row>
    <row r="12">
      <c r="A12" s="3" t="inlineStr"/>
    </row>
    <row r="13">
      <c r="A13" s="4" t="inlineStr">
        <is>
          <t>Rules</t>
        </is>
      </c>
    </row>
    <row r="14">
      <c r="A14" s="3" t="inlineStr">
        <is>
          <t>Outcome is Success (done unaided), Partial (done after a hint or a detour) or Fail. Time is counted for Success attempts only (stopwatch from the end of the reading to the goal screen). An error is a tap that leads away from the goal, an error or validation message the participant triggers, or going back to undo. A fault of the app or the network is not a participant error: repeat the task and say so in the notes.</t>
        </is>
      </c>
    </row>
    <row r="15">
      <c r="A15" s="3" t="inlineStr">
        <is>
          <t>Targets (yellow-blue cells on the Summary sheet) come from section 6.4 of the M02 report: Success at least 80 % per task, time at or under the task target, at most 2 errors per task (T1: 0 wrong turns), mean SEQ at least 5.5, mean SUS at least 68, no open High issue. T3 time target was adjusted from 120 s to 150 s (phone photo prompt and gallery); every other target is unchanged.</t>
        </is>
      </c>
    </row>
    <row r="16">
      <c r="A16" s="3" t="inlineStr">
        <is>
          <t>The Summary needs at least 5 participants who gave consent (brief). Tasks with fewer than 5 attempts are flagged “Few”: report them with their N.</t>
        </is>
      </c>
    </row>
    <row r="17">
      <c r="A17" s="3" t="inlineStr">
        <is>
          <t>Colour code: yellow = you type here; blue = target (edit only if the report changes it); grey = fixed text; no fill = formula.</t>
        </is>
      </c>
    </row>
    <row r="18">
      <c r="A18" s="3" t="inlineStr">
        <is>
          <t>Companion files: Gedara_App_Test_Session_Script.pdf (facilitator script and observation sheets), README_usability.md, usability3.template.json.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32" customWidth="1" min="3" max="3"/>
    <col width="16" customWidth="1" min="4" max="4"/>
    <col width="14" customWidth="1" min="5" max="5"/>
    <col width="13" customWidth="1" min="6" max="6"/>
    <col width="14" customWidth="1" min="7" max="7"/>
    <col width="14" customWidth="1" min="8" max="8"/>
    <col width="13" customWidth="1" min="9" max="9"/>
    <col width="30" customWidth="1" min="10" max="10"/>
    <col width="11" customWidth="1" min="11" max="11"/>
    <col width="36" customWidth="1" min="12" max="12"/>
  </cols>
  <sheetData>
    <row r="1" ht="34" customHeight="1">
      <c r="A1" s="5" t="inlineStr">
        <is>
          <t>Code</t>
        </is>
      </c>
      <c r="B1" s="5" t="inlineStr">
        <is>
          <t>Real background</t>
        </is>
      </c>
      <c r="C1" s="5" t="inlineStr">
        <is>
          <t>Roles tested</t>
        </is>
      </c>
      <c r="D1" s="5" t="inlineStr">
        <is>
          <t>Age group (18+ only)</t>
        </is>
      </c>
      <c r="E1" s="5" t="inlineStr">
        <is>
          <t>Device</t>
        </is>
      </c>
      <c r="F1" s="5" t="inlineStr">
        <is>
          <t>Connection</t>
        </is>
      </c>
      <c r="G1" s="5" t="inlineStr">
        <is>
          <t>Session date</t>
        </is>
      </c>
      <c r="H1" s="5" t="inlineStr">
        <is>
          <t>Consent given (Yes/No)</t>
        </is>
      </c>
      <c r="I1" s="5" t="inlineStr">
        <is>
          <t>Recorded (Yes/No)</t>
        </is>
      </c>
      <c r="J1" s="5" t="inlineStr">
        <is>
          <t>Recording file name</t>
        </is>
      </c>
      <c r="K1" s="5" t="inlineStr">
        <is>
          <t>Tasks attempted</t>
        </is>
      </c>
      <c r="L1" s="5" t="inlineStr">
        <is>
          <t>Notes</t>
        </is>
      </c>
    </row>
    <row r="2">
      <c r="A2" s="6" t="inlineStr">
        <is>
          <t>U1</t>
        </is>
      </c>
      <c r="B2" s="7" t="n"/>
      <c r="C2" s="7" t="n"/>
      <c r="D2" s="7" t="n"/>
      <c r="E2" s="7" t="n"/>
      <c r="F2" s="7" t="n"/>
      <c r="G2" s="8" t="n"/>
      <c r="H2" s="7" t="n"/>
      <c r="I2" s="7" t="n"/>
      <c r="J2" s="7" t="n"/>
      <c r="K2" s="9">
        <f>COUNTIFS('Task log'!$A$2:$A$301,A2,'Task log'!$C$2:$C$301,"&lt;&gt;")</f>
        <v/>
      </c>
      <c r="L2" s="10" t="n"/>
    </row>
    <row r="3">
      <c r="A3" s="6" t="inlineStr">
        <is>
          <t>U2</t>
        </is>
      </c>
      <c r="B3" s="7" t="n"/>
      <c r="C3" s="7" t="n"/>
      <c r="D3" s="7" t="n"/>
      <c r="E3" s="7" t="n"/>
      <c r="F3" s="7" t="n"/>
      <c r="G3" s="8" t="n"/>
      <c r="H3" s="7" t="n"/>
      <c r="I3" s="7" t="n"/>
      <c r="J3" s="7" t="n"/>
      <c r="K3" s="9">
        <f>COUNTIFS('Task log'!$A$2:$A$301,A3,'Task log'!$C$2:$C$301,"&lt;&gt;")</f>
        <v/>
      </c>
      <c r="L3" s="10" t="n"/>
    </row>
    <row r="4">
      <c r="A4" s="6" t="inlineStr">
        <is>
          <t>U3</t>
        </is>
      </c>
      <c r="B4" s="7" t="n"/>
      <c r="C4" s="7" t="n"/>
      <c r="D4" s="7" t="n"/>
      <c r="E4" s="7" t="n"/>
      <c r="F4" s="7" t="n"/>
      <c r="G4" s="8" t="n"/>
      <c r="H4" s="7" t="n"/>
      <c r="I4" s="7" t="n"/>
      <c r="J4" s="7" t="n"/>
      <c r="K4" s="9">
        <f>COUNTIFS('Task log'!$A$2:$A$301,A4,'Task log'!$C$2:$C$301,"&lt;&gt;")</f>
        <v/>
      </c>
      <c r="L4" s="10" t="n"/>
    </row>
    <row r="5">
      <c r="A5" s="6" t="inlineStr">
        <is>
          <t>U4</t>
        </is>
      </c>
      <c r="B5" s="7" t="n"/>
      <c r="C5" s="7" t="n"/>
      <c r="D5" s="7" t="n"/>
      <c r="E5" s="7" t="n"/>
      <c r="F5" s="7" t="n"/>
      <c r="G5" s="8" t="n"/>
      <c r="H5" s="7" t="n"/>
      <c r="I5" s="7" t="n"/>
      <c r="J5" s="7" t="n"/>
      <c r="K5" s="9">
        <f>COUNTIFS('Task log'!$A$2:$A$301,A5,'Task log'!$C$2:$C$301,"&lt;&gt;")</f>
        <v/>
      </c>
      <c r="L5" s="10" t="n"/>
    </row>
    <row r="6">
      <c r="A6" s="6" t="inlineStr">
        <is>
          <t>U5</t>
        </is>
      </c>
      <c r="B6" s="7" t="n"/>
      <c r="C6" s="7" t="n"/>
      <c r="D6" s="7" t="n"/>
      <c r="E6" s="7" t="n"/>
      <c r="F6" s="7" t="n"/>
      <c r="G6" s="8" t="n"/>
      <c r="H6" s="7" t="n"/>
      <c r="I6" s="7" t="n"/>
      <c r="J6" s="7" t="n"/>
      <c r="K6" s="9">
        <f>COUNTIFS('Task log'!$A$2:$A$301,A6,'Task log'!$C$2:$C$301,"&lt;&gt;")</f>
        <v/>
      </c>
      <c r="L6" s="10" t="n"/>
    </row>
    <row r="7">
      <c r="A7" s="6" t="inlineStr">
        <is>
          <t>U6</t>
        </is>
      </c>
      <c r="B7" s="7" t="n"/>
      <c r="C7" s="7" t="n"/>
      <c r="D7" s="7" t="n"/>
      <c r="E7" s="7" t="n"/>
      <c r="F7" s="7" t="n"/>
      <c r="G7" s="8" t="n"/>
      <c r="H7" s="7" t="n"/>
      <c r="I7" s="7" t="n"/>
      <c r="J7" s="7" t="n"/>
      <c r="K7" s="9">
        <f>COUNTIFS('Task log'!$A$2:$A$301,A7,'Task log'!$C$2:$C$301,"&lt;&gt;")</f>
        <v/>
      </c>
      <c r="L7" s="10" t="n"/>
    </row>
    <row r="8">
      <c r="A8" s="6" t="inlineStr">
        <is>
          <t>U7</t>
        </is>
      </c>
      <c r="B8" s="7" t="n"/>
      <c r="C8" s="7" t="n"/>
      <c r="D8" s="7" t="n"/>
      <c r="E8" s="7" t="n"/>
      <c r="F8" s="7" t="n"/>
      <c r="G8" s="8" t="n"/>
      <c r="H8" s="7" t="n"/>
      <c r="I8" s="7" t="n"/>
      <c r="J8" s="7" t="n"/>
      <c r="K8" s="9">
        <f>COUNTIFS('Task log'!$A$2:$A$301,A8,'Task log'!$C$2:$C$301,"&lt;&gt;")</f>
        <v/>
      </c>
      <c r="L8" s="10" t="n"/>
    </row>
    <row r="9">
      <c r="A9" s="6" t="inlineStr">
        <is>
          <t>U8</t>
        </is>
      </c>
      <c r="B9" s="7" t="n"/>
      <c r="C9" s="7" t="n"/>
      <c r="D9" s="7" t="n"/>
      <c r="E9" s="7" t="n"/>
      <c r="F9" s="7" t="n"/>
      <c r="G9" s="8" t="n"/>
      <c r="H9" s="7" t="n"/>
      <c r="I9" s="7" t="n"/>
      <c r="J9" s="7" t="n"/>
      <c r="K9" s="9">
        <f>COUNTIFS('Task log'!$A$2:$A$301,A9,'Task log'!$C$2:$C$301,"&lt;&gt;")</f>
        <v/>
      </c>
      <c r="L9" s="10" t="n"/>
    </row>
    <row r="10">
      <c r="A10" s="6" t="inlineStr">
        <is>
          <t>U9</t>
        </is>
      </c>
      <c r="B10" s="7" t="n"/>
      <c r="C10" s="7" t="n"/>
      <c r="D10" s="7" t="n"/>
      <c r="E10" s="7" t="n"/>
      <c r="F10" s="7" t="n"/>
      <c r="G10" s="8" t="n"/>
      <c r="H10" s="7" t="n"/>
      <c r="I10" s="7" t="n"/>
      <c r="J10" s="7" t="n"/>
      <c r="K10" s="9">
        <f>COUNTIFS('Task log'!$A$2:$A$301,A10,'Task log'!$C$2:$C$301,"&lt;&gt;")</f>
        <v/>
      </c>
      <c r="L10" s="10" t="n"/>
    </row>
    <row r="11">
      <c r="A11" s="6" t="inlineStr">
        <is>
          <t>U10</t>
        </is>
      </c>
      <c r="B11" s="7" t="n"/>
      <c r="C11" s="7" t="n"/>
      <c r="D11" s="7" t="n"/>
      <c r="E11" s="7" t="n"/>
      <c r="F11" s="7" t="n"/>
      <c r="G11" s="8" t="n"/>
      <c r="H11" s="7" t="n"/>
      <c r="I11" s="7" t="n"/>
      <c r="J11" s="7" t="n"/>
      <c r="K11" s="9">
        <f>COUNTIFS('Task log'!$A$2:$A$301,A11,'Task log'!$C$2:$C$301,"&lt;&gt;")</f>
        <v/>
      </c>
      <c r="L11" s="10" t="n"/>
    </row>
    <row r="13">
      <c r="A13" s="11" t="inlineStr">
        <is>
          <t>Use only the anonymous codes. “Real background” must be honest: say if a participant is a friend or student role-playing a provider or administrator.</t>
        </is>
      </c>
    </row>
  </sheetData>
  <dataValidations count="7">
    <dataValidation sqref="B2:B11" showDropDown="0" showInputMessage="0" showErrorMessage="0" allowBlank="1" type="list">
      <formula1>"Real customer,Tradesperson,Admin or office worker,Student or friend (role-playing),Other"</formula1>
    </dataValidation>
    <dataValidation sqref="C2:C11" showDropDown="0" showInputMessage="0" showErrorMessage="0" allowBlank="1" type="list">
      <formula1>"Customer,Customer + Provider,Customer + Provider + Administrator,Customer + Administrator,Provider,Administrator"</formula1>
    </dataValidation>
    <dataValidation sqref="D2:D11" showDropDown="0" showInputMessage="0" showErrorMessage="0" allowBlank="1" type="list">
      <formula1>"18 to 24,25 to 34,35 to 44,45 to 54,55 or over"</formula1>
    </dataValidation>
    <dataValidation sqref="E2:E11" showDropDown="0" showInputMessage="0" showErrorMessage="0" allowBlank="1" type="list">
      <formula1>"iPhone,Android phone,Laptop,Other"</formula1>
    </dataValidation>
    <dataValidation sqref="F2:F11" showDropDown="0" showInputMessage="0" showErrorMessage="0" allowBlank="1" type="list">
      <formula1>"Expo Go,APK,Browser"</formula1>
    </dataValidation>
    <dataValidation sqref="H2:H11" showDropDown="0" showInputMessage="0" showErrorMessage="0" allowBlank="1" type="list">
      <formula1>"Yes,No"</formula1>
    </dataValidation>
    <dataValidation sqref="I2:I11"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2" customWidth="1" min="3" max="3"/>
    <col width="10" customWidth="1" min="4" max="4"/>
    <col width="9" customWidth="1" min="5" max="5"/>
    <col width="11" customWidth="1" min="6" max="6"/>
    <col width="10" customWidth="1" min="7" max="7"/>
    <col width="60" customWidth="1" min="8" max="8"/>
  </cols>
  <sheetData>
    <row r="1" ht="30" customHeight="1">
      <c r="A1" s="5" t="inlineStr">
        <is>
          <t>Participant</t>
        </is>
      </c>
      <c r="B1" s="5" t="inlineStr">
        <is>
          <t>Task</t>
        </is>
      </c>
      <c r="C1" s="5" t="inlineStr">
        <is>
          <t>Outcome</t>
        </is>
      </c>
      <c r="D1" s="5" t="inlineStr">
        <is>
          <t>Time (s)</t>
        </is>
      </c>
      <c r="E1" s="5" t="inlineStr">
        <is>
          <t>Errors</t>
        </is>
      </c>
      <c r="F1" s="5" t="inlineStr">
        <is>
          <t>Hints given</t>
        </is>
      </c>
      <c r="G1" s="5" t="inlineStr">
        <is>
          <t>SEQ (1-7)</t>
        </is>
      </c>
      <c r="H1" s="5" t="inlineStr">
        <is>
          <t>Notes / quote</t>
        </is>
      </c>
    </row>
    <row r="2">
      <c r="A2" s="12" t="inlineStr">
        <is>
          <t>U1</t>
        </is>
      </c>
      <c r="B2" s="12" t="inlineStr">
        <is>
          <t>T1</t>
        </is>
      </c>
      <c r="C2" s="10" t="n"/>
      <c r="D2" s="10" t="n"/>
      <c r="E2" s="10" t="n"/>
      <c r="F2" s="10" t="n"/>
      <c r="G2" s="10" t="n"/>
      <c r="H2" s="10" t="n"/>
    </row>
    <row r="3">
      <c r="A3" s="12" t="inlineStr">
        <is>
          <t>U1</t>
        </is>
      </c>
      <c r="B3" s="12" t="inlineStr">
        <is>
          <t>T2</t>
        </is>
      </c>
      <c r="C3" s="10" t="n"/>
      <c r="D3" s="10" t="n"/>
      <c r="E3" s="10" t="n"/>
      <c r="F3" s="10" t="n"/>
      <c r="G3" s="10" t="n"/>
      <c r="H3" s="10" t="n"/>
    </row>
    <row r="4">
      <c r="A4" s="12" t="inlineStr">
        <is>
          <t>U1</t>
        </is>
      </c>
      <c r="B4" s="12" t="inlineStr">
        <is>
          <t>T3</t>
        </is>
      </c>
      <c r="C4" s="10" t="n"/>
      <c r="D4" s="10" t="n"/>
      <c r="E4" s="10" t="n"/>
      <c r="F4" s="10" t="n"/>
      <c r="G4" s="10" t="n"/>
      <c r="H4" s="10" t="n"/>
    </row>
    <row r="5">
      <c r="A5" s="12" t="inlineStr">
        <is>
          <t>U1</t>
        </is>
      </c>
      <c r="B5" s="12" t="inlineStr">
        <is>
          <t>T4</t>
        </is>
      </c>
      <c r="C5" s="10" t="n"/>
      <c r="D5" s="10" t="n"/>
      <c r="E5" s="10" t="n"/>
      <c r="F5" s="10" t="n"/>
      <c r="G5" s="10" t="n"/>
      <c r="H5" s="10" t="n"/>
    </row>
    <row r="6">
      <c r="A6" s="12" t="inlineStr">
        <is>
          <t>U1</t>
        </is>
      </c>
      <c r="B6" s="12" t="inlineStr">
        <is>
          <t>T5</t>
        </is>
      </c>
      <c r="C6" s="10" t="n"/>
      <c r="D6" s="10" t="n"/>
      <c r="E6" s="10" t="n"/>
      <c r="F6" s="10" t="n"/>
      <c r="G6" s="10" t="n"/>
      <c r="H6" s="10" t="n"/>
    </row>
    <row r="7">
      <c r="A7" s="12" t="inlineStr">
        <is>
          <t>U1</t>
        </is>
      </c>
      <c r="B7" s="12" t="inlineStr">
        <is>
          <t>T6</t>
        </is>
      </c>
      <c r="C7" s="10" t="n"/>
      <c r="D7" s="10" t="n"/>
      <c r="E7" s="10" t="n"/>
      <c r="F7" s="10" t="n"/>
      <c r="G7" s="10" t="n"/>
      <c r="H7" s="10" t="n"/>
    </row>
    <row r="8">
      <c r="A8" s="12" t="inlineStr">
        <is>
          <t>U1</t>
        </is>
      </c>
      <c r="B8" s="12" t="inlineStr">
        <is>
          <t>T7</t>
        </is>
      </c>
      <c r="C8" s="10" t="n"/>
      <c r="D8" s="10" t="n"/>
      <c r="E8" s="10" t="n"/>
      <c r="F8" s="10" t="n"/>
      <c r="G8" s="10" t="n"/>
      <c r="H8" s="10" t="n"/>
    </row>
    <row r="9">
      <c r="A9" s="12" t="inlineStr">
        <is>
          <t>U1</t>
        </is>
      </c>
      <c r="B9" s="12" t="inlineStr">
        <is>
          <t>T8</t>
        </is>
      </c>
      <c r="C9" s="10" t="n"/>
      <c r="D9" s="10" t="n"/>
      <c r="E9" s="10" t="n"/>
      <c r="F9" s="10" t="n"/>
      <c r="G9" s="10" t="n"/>
      <c r="H9" s="10" t="n"/>
    </row>
    <row r="10">
      <c r="A10" s="12" t="inlineStr">
        <is>
          <t>U1</t>
        </is>
      </c>
      <c r="B10" s="12" t="inlineStr">
        <is>
          <t>T9</t>
        </is>
      </c>
      <c r="C10" s="10" t="n"/>
      <c r="D10" s="10" t="n"/>
      <c r="E10" s="10" t="n"/>
      <c r="F10" s="10" t="n"/>
      <c r="G10" s="10" t="n"/>
      <c r="H10" s="10" t="n"/>
    </row>
    <row r="11">
      <c r="A11" s="12" t="inlineStr">
        <is>
          <t>U1</t>
        </is>
      </c>
      <c r="B11" s="12" t="inlineStr">
        <is>
          <t>T10</t>
        </is>
      </c>
      <c r="C11" s="10" t="n"/>
      <c r="D11" s="10" t="n"/>
      <c r="E11" s="10" t="n"/>
      <c r="F11" s="10" t="n"/>
      <c r="G11" s="10" t="n"/>
      <c r="H11" s="10" t="n"/>
    </row>
    <row r="12">
      <c r="A12" s="12" t="inlineStr">
        <is>
          <t>U2</t>
        </is>
      </c>
      <c r="B12" s="12" t="inlineStr">
        <is>
          <t>T1</t>
        </is>
      </c>
      <c r="C12" s="10" t="n"/>
      <c r="D12" s="10" t="n"/>
      <c r="E12" s="10" t="n"/>
      <c r="F12" s="10" t="n"/>
      <c r="G12" s="10" t="n"/>
      <c r="H12" s="10" t="n"/>
    </row>
    <row r="13">
      <c r="A13" s="12" t="inlineStr">
        <is>
          <t>U2</t>
        </is>
      </c>
      <c r="B13" s="12" t="inlineStr">
        <is>
          <t>T2</t>
        </is>
      </c>
      <c r="C13" s="10" t="n"/>
      <c r="D13" s="10" t="n"/>
      <c r="E13" s="10" t="n"/>
      <c r="F13" s="10" t="n"/>
      <c r="G13" s="10" t="n"/>
      <c r="H13" s="10" t="n"/>
    </row>
    <row r="14">
      <c r="A14" s="12" t="inlineStr">
        <is>
          <t>U2</t>
        </is>
      </c>
      <c r="B14" s="12" t="inlineStr">
        <is>
          <t>T3</t>
        </is>
      </c>
      <c r="C14" s="10" t="n"/>
      <c r="D14" s="10" t="n"/>
      <c r="E14" s="10" t="n"/>
      <c r="F14" s="10" t="n"/>
      <c r="G14" s="10" t="n"/>
      <c r="H14" s="10" t="n"/>
    </row>
    <row r="15">
      <c r="A15" s="12" t="inlineStr">
        <is>
          <t>U2</t>
        </is>
      </c>
      <c r="B15" s="12" t="inlineStr">
        <is>
          <t>T4</t>
        </is>
      </c>
      <c r="C15" s="10" t="n"/>
      <c r="D15" s="10" t="n"/>
      <c r="E15" s="10" t="n"/>
      <c r="F15" s="10" t="n"/>
      <c r="G15" s="10" t="n"/>
      <c r="H15" s="10" t="n"/>
    </row>
    <row r="16">
      <c r="A16" s="12" t="inlineStr">
        <is>
          <t>U2</t>
        </is>
      </c>
      <c r="B16" s="12" t="inlineStr">
        <is>
          <t>T5</t>
        </is>
      </c>
      <c r="C16" s="10" t="n"/>
      <c r="D16" s="10" t="n"/>
      <c r="E16" s="10" t="n"/>
      <c r="F16" s="10" t="n"/>
      <c r="G16" s="10" t="n"/>
      <c r="H16" s="10" t="n"/>
    </row>
    <row r="17">
      <c r="A17" s="12" t="inlineStr">
        <is>
          <t>U2</t>
        </is>
      </c>
      <c r="B17" s="12" t="inlineStr">
        <is>
          <t>T6</t>
        </is>
      </c>
      <c r="C17" s="10" t="n"/>
      <c r="D17" s="10" t="n"/>
      <c r="E17" s="10" t="n"/>
      <c r="F17" s="10" t="n"/>
      <c r="G17" s="10" t="n"/>
      <c r="H17" s="10" t="n"/>
    </row>
    <row r="18">
      <c r="A18" s="12" t="inlineStr">
        <is>
          <t>U2</t>
        </is>
      </c>
      <c r="B18" s="12" t="inlineStr">
        <is>
          <t>T7</t>
        </is>
      </c>
      <c r="C18" s="10" t="n"/>
      <c r="D18" s="10" t="n"/>
      <c r="E18" s="10" t="n"/>
      <c r="F18" s="10" t="n"/>
      <c r="G18" s="10" t="n"/>
      <c r="H18" s="10" t="n"/>
    </row>
    <row r="19">
      <c r="A19" s="12" t="inlineStr">
        <is>
          <t>U2</t>
        </is>
      </c>
      <c r="B19" s="12" t="inlineStr">
        <is>
          <t>T8</t>
        </is>
      </c>
      <c r="C19" s="10" t="n"/>
      <c r="D19" s="10" t="n"/>
      <c r="E19" s="10" t="n"/>
      <c r="F19" s="10" t="n"/>
      <c r="G19" s="10" t="n"/>
      <c r="H19" s="10" t="n"/>
    </row>
    <row r="20">
      <c r="A20" s="12" t="inlineStr">
        <is>
          <t>U2</t>
        </is>
      </c>
      <c r="B20" s="12" t="inlineStr">
        <is>
          <t>T9</t>
        </is>
      </c>
      <c r="C20" s="10" t="n"/>
      <c r="D20" s="10" t="n"/>
      <c r="E20" s="10" t="n"/>
      <c r="F20" s="10" t="n"/>
      <c r="G20" s="10" t="n"/>
      <c r="H20" s="10" t="n"/>
    </row>
    <row r="21">
      <c r="A21" s="12" t="inlineStr">
        <is>
          <t>U2</t>
        </is>
      </c>
      <c r="B21" s="12" t="inlineStr">
        <is>
          <t>T10</t>
        </is>
      </c>
      <c r="C21" s="10" t="n"/>
      <c r="D21" s="10" t="n"/>
      <c r="E21" s="10" t="n"/>
      <c r="F21" s="10" t="n"/>
      <c r="G21" s="10" t="n"/>
      <c r="H21" s="10" t="n"/>
    </row>
    <row r="22">
      <c r="A22" s="12" t="inlineStr">
        <is>
          <t>U3</t>
        </is>
      </c>
      <c r="B22" s="12" t="inlineStr">
        <is>
          <t>T1</t>
        </is>
      </c>
      <c r="C22" s="10" t="n"/>
      <c r="D22" s="10" t="n"/>
      <c r="E22" s="10" t="n"/>
      <c r="F22" s="10" t="n"/>
      <c r="G22" s="10" t="n"/>
      <c r="H22" s="10" t="n"/>
    </row>
    <row r="23">
      <c r="A23" s="12" t="inlineStr">
        <is>
          <t>U3</t>
        </is>
      </c>
      <c r="B23" s="12" t="inlineStr">
        <is>
          <t>T2</t>
        </is>
      </c>
      <c r="C23" s="10" t="n"/>
      <c r="D23" s="10" t="n"/>
      <c r="E23" s="10" t="n"/>
      <c r="F23" s="10" t="n"/>
      <c r="G23" s="10" t="n"/>
      <c r="H23" s="10" t="n"/>
    </row>
    <row r="24">
      <c r="A24" s="12" t="inlineStr">
        <is>
          <t>U3</t>
        </is>
      </c>
      <c r="B24" s="12" t="inlineStr">
        <is>
          <t>T3</t>
        </is>
      </c>
      <c r="C24" s="10" t="n"/>
      <c r="D24" s="10" t="n"/>
      <c r="E24" s="10" t="n"/>
      <c r="F24" s="10" t="n"/>
      <c r="G24" s="10" t="n"/>
      <c r="H24" s="10" t="n"/>
    </row>
    <row r="25">
      <c r="A25" s="12" t="inlineStr">
        <is>
          <t>U3</t>
        </is>
      </c>
      <c r="B25" s="12" t="inlineStr">
        <is>
          <t>T4</t>
        </is>
      </c>
      <c r="C25" s="10" t="n"/>
      <c r="D25" s="10" t="n"/>
      <c r="E25" s="10" t="n"/>
      <c r="F25" s="10" t="n"/>
      <c r="G25" s="10" t="n"/>
      <c r="H25" s="10" t="n"/>
    </row>
    <row r="26">
      <c r="A26" s="12" t="inlineStr">
        <is>
          <t>U3</t>
        </is>
      </c>
      <c r="B26" s="12" t="inlineStr">
        <is>
          <t>T5</t>
        </is>
      </c>
      <c r="C26" s="10" t="n"/>
      <c r="D26" s="10" t="n"/>
      <c r="E26" s="10" t="n"/>
      <c r="F26" s="10" t="n"/>
      <c r="G26" s="10" t="n"/>
      <c r="H26" s="10" t="n"/>
    </row>
    <row r="27">
      <c r="A27" s="12" t="inlineStr">
        <is>
          <t>U3</t>
        </is>
      </c>
      <c r="B27" s="12" t="inlineStr">
        <is>
          <t>T6</t>
        </is>
      </c>
      <c r="C27" s="10" t="n"/>
      <c r="D27" s="10" t="n"/>
      <c r="E27" s="10" t="n"/>
      <c r="F27" s="10" t="n"/>
      <c r="G27" s="10" t="n"/>
      <c r="H27" s="10" t="n"/>
    </row>
    <row r="28">
      <c r="A28" s="12" t="inlineStr">
        <is>
          <t>U3</t>
        </is>
      </c>
      <c r="B28" s="12" t="inlineStr">
        <is>
          <t>T7</t>
        </is>
      </c>
      <c r="C28" s="10" t="n"/>
      <c r="D28" s="10" t="n"/>
      <c r="E28" s="10" t="n"/>
      <c r="F28" s="10" t="n"/>
      <c r="G28" s="10" t="n"/>
      <c r="H28" s="10" t="n"/>
    </row>
    <row r="29">
      <c r="A29" s="12" t="inlineStr">
        <is>
          <t>U3</t>
        </is>
      </c>
      <c r="B29" s="12" t="inlineStr">
        <is>
          <t>T8</t>
        </is>
      </c>
      <c r="C29" s="10" t="n"/>
      <c r="D29" s="10" t="n"/>
      <c r="E29" s="10" t="n"/>
      <c r="F29" s="10" t="n"/>
      <c r="G29" s="10" t="n"/>
      <c r="H29" s="10" t="n"/>
    </row>
    <row r="30">
      <c r="A30" s="12" t="inlineStr">
        <is>
          <t>U3</t>
        </is>
      </c>
      <c r="B30" s="12" t="inlineStr">
        <is>
          <t>T9</t>
        </is>
      </c>
      <c r="C30" s="10" t="n"/>
      <c r="D30" s="10" t="n"/>
      <c r="E30" s="10" t="n"/>
      <c r="F30" s="10" t="n"/>
      <c r="G30" s="10" t="n"/>
      <c r="H30" s="10" t="n"/>
    </row>
    <row r="31">
      <c r="A31" s="12" t="inlineStr">
        <is>
          <t>U3</t>
        </is>
      </c>
      <c r="B31" s="12" t="inlineStr">
        <is>
          <t>T10</t>
        </is>
      </c>
      <c r="C31" s="10" t="n"/>
      <c r="D31" s="10" t="n"/>
      <c r="E31" s="10" t="n"/>
      <c r="F31" s="10" t="n"/>
      <c r="G31" s="10" t="n"/>
      <c r="H31" s="10" t="n"/>
    </row>
    <row r="32">
      <c r="A32" s="12" t="inlineStr">
        <is>
          <t>U4</t>
        </is>
      </c>
      <c r="B32" s="12" t="inlineStr">
        <is>
          <t>T1</t>
        </is>
      </c>
      <c r="C32" s="10" t="n"/>
      <c r="D32" s="10" t="n"/>
      <c r="E32" s="10" t="n"/>
      <c r="F32" s="10" t="n"/>
      <c r="G32" s="10" t="n"/>
      <c r="H32" s="10" t="n"/>
    </row>
    <row r="33">
      <c r="A33" s="12" t="inlineStr">
        <is>
          <t>U4</t>
        </is>
      </c>
      <c r="B33" s="12" t="inlineStr">
        <is>
          <t>T2</t>
        </is>
      </c>
      <c r="C33" s="10" t="n"/>
      <c r="D33" s="10" t="n"/>
      <c r="E33" s="10" t="n"/>
      <c r="F33" s="10" t="n"/>
      <c r="G33" s="10" t="n"/>
      <c r="H33" s="10" t="n"/>
    </row>
    <row r="34">
      <c r="A34" s="12" t="inlineStr">
        <is>
          <t>U4</t>
        </is>
      </c>
      <c r="B34" s="12" t="inlineStr">
        <is>
          <t>T3</t>
        </is>
      </c>
      <c r="C34" s="10" t="n"/>
      <c r="D34" s="10" t="n"/>
      <c r="E34" s="10" t="n"/>
      <c r="F34" s="10" t="n"/>
      <c r="G34" s="10" t="n"/>
      <c r="H34" s="10" t="n"/>
    </row>
    <row r="35">
      <c r="A35" s="12" t="inlineStr">
        <is>
          <t>U4</t>
        </is>
      </c>
      <c r="B35" s="12" t="inlineStr">
        <is>
          <t>T4</t>
        </is>
      </c>
      <c r="C35" s="10" t="n"/>
      <c r="D35" s="10" t="n"/>
      <c r="E35" s="10" t="n"/>
      <c r="F35" s="10" t="n"/>
      <c r="G35" s="10" t="n"/>
      <c r="H35" s="10" t="n"/>
    </row>
    <row r="36">
      <c r="A36" s="12" t="inlineStr">
        <is>
          <t>U4</t>
        </is>
      </c>
      <c r="B36" s="12" t="inlineStr">
        <is>
          <t>T5</t>
        </is>
      </c>
      <c r="C36" s="10" t="n"/>
      <c r="D36" s="10" t="n"/>
      <c r="E36" s="10" t="n"/>
      <c r="F36" s="10" t="n"/>
      <c r="G36" s="10" t="n"/>
      <c r="H36" s="10" t="n"/>
    </row>
    <row r="37">
      <c r="A37" s="12" t="inlineStr">
        <is>
          <t>U4</t>
        </is>
      </c>
      <c r="B37" s="12" t="inlineStr">
        <is>
          <t>T6</t>
        </is>
      </c>
      <c r="C37" s="10" t="n"/>
      <c r="D37" s="10" t="n"/>
      <c r="E37" s="10" t="n"/>
      <c r="F37" s="10" t="n"/>
      <c r="G37" s="10" t="n"/>
      <c r="H37" s="10" t="n"/>
    </row>
    <row r="38">
      <c r="A38" s="12" t="inlineStr">
        <is>
          <t>U4</t>
        </is>
      </c>
      <c r="B38" s="12" t="inlineStr">
        <is>
          <t>T7</t>
        </is>
      </c>
      <c r="C38" s="10" t="n"/>
      <c r="D38" s="10" t="n"/>
      <c r="E38" s="10" t="n"/>
      <c r="F38" s="10" t="n"/>
      <c r="G38" s="10" t="n"/>
      <c r="H38" s="10" t="n"/>
    </row>
    <row r="39">
      <c r="A39" s="12" t="inlineStr">
        <is>
          <t>U4</t>
        </is>
      </c>
      <c r="B39" s="12" t="inlineStr">
        <is>
          <t>T8</t>
        </is>
      </c>
      <c r="C39" s="10" t="n"/>
      <c r="D39" s="10" t="n"/>
      <c r="E39" s="10" t="n"/>
      <c r="F39" s="10" t="n"/>
      <c r="G39" s="10" t="n"/>
      <c r="H39" s="10" t="n"/>
    </row>
    <row r="40">
      <c r="A40" s="12" t="inlineStr">
        <is>
          <t>U4</t>
        </is>
      </c>
      <c r="B40" s="12" t="inlineStr">
        <is>
          <t>T9</t>
        </is>
      </c>
      <c r="C40" s="10" t="n"/>
      <c r="D40" s="10" t="n"/>
      <c r="E40" s="10" t="n"/>
      <c r="F40" s="10" t="n"/>
      <c r="G40" s="10" t="n"/>
      <c r="H40" s="10" t="n"/>
    </row>
    <row r="41">
      <c r="A41" s="12" t="inlineStr">
        <is>
          <t>U4</t>
        </is>
      </c>
      <c r="B41" s="12" t="inlineStr">
        <is>
          <t>T10</t>
        </is>
      </c>
      <c r="C41" s="10" t="n"/>
      <c r="D41" s="10" t="n"/>
      <c r="E41" s="10" t="n"/>
      <c r="F41" s="10" t="n"/>
      <c r="G41" s="10" t="n"/>
      <c r="H41" s="10" t="n"/>
    </row>
    <row r="42">
      <c r="A42" s="12" t="inlineStr">
        <is>
          <t>U5</t>
        </is>
      </c>
      <c r="B42" s="12" t="inlineStr">
        <is>
          <t>T1</t>
        </is>
      </c>
      <c r="C42" s="10" t="n"/>
      <c r="D42" s="10" t="n"/>
      <c r="E42" s="10" t="n"/>
      <c r="F42" s="10" t="n"/>
      <c r="G42" s="10" t="n"/>
      <c r="H42" s="10" t="n"/>
    </row>
    <row r="43">
      <c r="A43" s="12" t="inlineStr">
        <is>
          <t>U5</t>
        </is>
      </c>
      <c r="B43" s="12" t="inlineStr">
        <is>
          <t>T2</t>
        </is>
      </c>
      <c r="C43" s="10" t="n"/>
      <c r="D43" s="10" t="n"/>
      <c r="E43" s="10" t="n"/>
      <c r="F43" s="10" t="n"/>
      <c r="G43" s="10" t="n"/>
      <c r="H43" s="10" t="n"/>
    </row>
    <row r="44">
      <c r="A44" s="12" t="inlineStr">
        <is>
          <t>U5</t>
        </is>
      </c>
      <c r="B44" s="12" t="inlineStr">
        <is>
          <t>T3</t>
        </is>
      </c>
      <c r="C44" s="10" t="n"/>
      <c r="D44" s="10" t="n"/>
      <c r="E44" s="10" t="n"/>
      <c r="F44" s="10" t="n"/>
      <c r="G44" s="10" t="n"/>
      <c r="H44" s="10" t="n"/>
    </row>
    <row r="45">
      <c r="A45" s="12" t="inlineStr">
        <is>
          <t>U5</t>
        </is>
      </c>
      <c r="B45" s="12" t="inlineStr">
        <is>
          <t>T4</t>
        </is>
      </c>
      <c r="C45" s="10" t="n"/>
      <c r="D45" s="10" t="n"/>
      <c r="E45" s="10" t="n"/>
      <c r="F45" s="10" t="n"/>
      <c r="G45" s="10" t="n"/>
      <c r="H45" s="10" t="n"/>
    </row>
    <row r="46">
      <c r="A46" s="12" t="inlineStr">
        <is>
          <t>U5</t>
        </is>
      </c>
      <c r="B46" s="12" t="inlineStr">
        <is>
          <t>T5</t>
        </is>
      </c>
      <c r="C46" s="10" t="n"/>
      <c r="D46" s="10" t="n"/>
      <c r="E46" s="10" t="n"/>
      <c r="F46" s="10" t="n"/>
      <c r="G46" s="10" t="n"/>
      <c r="H46" s="10" t="n"/>
    </row>
    <row r="47">
      <c r="A47" s="12" t="inlineStr">
        <is>
          <t>U5</t>
        </is>
      </c>
      <c r="B47" s="12" t="inlineStr">
        <is>
          <t>T6</t>
        </is>
      </c>
      <c r="C47" s="10" t="n"/>
      <c r="D47" s="10" t="n"/>
      <c r="E47" s="10" t="n"/>
      <c r="F47" s="10" t="n"/>
      <c r="G47" s="10" t="n"/>
      <c r="H47" s="10" t="n"/>
    </row>
    <row r="48">
      <c r="A48" s="12" t="inlineStr">
        <is>
          <t>U5</t>
        </is>
      </c>
      <c r="B48" s="12" t="inlineStr">
        <is>
          <t>T7</t>
        </is>
      </c>
      <c r="C48" s="10" t="n"/>
      <c r="D48" s="10" t="n"/>
      <c r="E48" s="10" t="n"/>
      <c r="F48" s="10" t="n"/>
      <c r="G48" s="10" t="n"/>
      <c r="H48" s="10" t="n"/>
    </row>
    <row r="49">
      <c r="A49" s="12" t="inlineStr">
        <is>
          <t>U5</t>
        </is>
      </c>
      <c r="B49" s="12" t="inlineStr">
        <is>
          <t>T8</t>
        </is>
      </c>
      <c r="C49" s="10" t="n"/>
      <c r="D49" s="10" t="n"/>
      <c r="E49" s="10" t="n"/>
      <c r="F49" s="10" t="n"/>
      <c r="G49" s="10" t="n"/>
      <c r="H49" s="10" t="n"/>
    </row>
    <row r="50">
      <c r="A50" s="12" t="inlineStr">
        <is>
          <t>U5</t>
        </is>
      </c>
      <c r="B50" s="12" t="inlineStr">
        <is>
          <t>T9</t>
        </is>
      </c>
      <c r="C50" s="10" t="n"/>
      <c r="D50" s="10" t="n"/>
      <c r="E50" s="10" t="n"/>
      <c r="F50" s="10" t="n"/>
      <c r="G50" s="10" t="n"/>
      <c r="H50" s="10" t="n"/>
    </row>
    <row r="51">
      <c r="A51" s="12" t="inlineStr">
        <is>
          <t>U5</t>
        </is>
      </c>
      <c r="B51" s="12" t="inlineStr">
        <is>
          <t>T10</t>
        </is>
      </c>
      <c r="C51" s="10" t="n"/>
      <c r="D51" s="10" t="n"/>
      <c r="E51" s="10" t="n"/>
      <c r="F51" s="10" t="n"/>
      <c r="G51" s="10" t="n"/>
      <c r="H51" s="10" t="n"/>
    </row>
    <row r="52">
      <c r="A52" s="12" t="inlineStr">
        <is>
          <t>U6</t>
        </is>
      </c>
      <c r="B52" s="12" t="inlineStr">
        <is>
          <t>T1</t>
        </is>
      </c>
      <c r="C52" s="10" t="n"/>
      <c r="D52" s="10" t="n"/>
      <c r="E52" s="10" t="n"/>
      <c r="F52" s="10" t="n"/>
      <c r="G52" s="10" t="n"/>
      <c r="H52" s="10" t="n"/>
    </row>
    <row r="53">
      <c r="A53" s="12" t="inlineStr">
        <is>
          <t>U6</t>
        </is>
      </c>
      <c r="B53" s="12" t="inlineStr">
        <is>
          <t>T2</t>
        </is>
      </c>
      <c r="C53" s="10" t="n"/>
      <c r="D53" s="10" t="n"/>
      <c r="E53" s="10" t="n"/>
      <c r="F53" s="10" t="n"/>
      <c r="G53" s="10" t="n"/>
      <c r="H53" s="10" t="n"/>
    </row>
    <row r="54">
      <c r="A54" s="12" t="inlineStr">
        <is>
          <t>U6</t>
        </is>
      </c>
      <c r="B54" s="12" t="inlineStr">
        <is>
          <t>T3</t>
        </is>
      </c>
      <c r="C54" s="10" t="n"/>
      <c r="D54" s="10" t="n"/>
      <c r="E54" s="10" t="n"/>
      <c r="F54" s="10" t="n"/>
      <c r="G54" s="10" t="n"/>
      <c r="H54" s="10" t="n"/>
    </row>
    <row r="55">
      <c r="A55" s="12" t="inlineStr">
        <is>
          <t>U6</t>
        </is>
      </c>
      <c r="B55" s="12" t="inlineStr">
        <is>
          <t>T4</t>
        </is>
      </c>
      <c r="C55" s="10" t="n"/>
      <c r="D55" s="10" t="n"/>
      <c r="E55" s="10" t="n"/>
      <c r="F55" s="10" t="n"/>
      <c r="G55" s="10" t="n"/>
      <c r="H55" s="10" t="n"/>
    </row>
    <row r="56">
      <c r="A56" s="12" t="inlineStr">
        <is>
          <t>U6</t>
        </is>
      </c>
      <c r="B56" s="12" t="inlineStr">
        <is>
          <t>T5</t>
        </is>
      </c>
      <c r="C56" s="10" t="n"/>
      <c r="D56" s="10" t="n"/>
      <c r="E56" s="10" t="n"/>
      <c r="F56" s="10" t="n"/>
      <c r="G56" s="10" t="n"/>
      <c r="H56" s="10" t="n"/>
    </row>
    <row r="57">
      <c r="A57" s="12" t="inlineStr">
        <is>
          <t>U6</t>
        </is>
      </c>
      <c r="B57" s="12" t="inlineStr">
        <is>
          <t>T6</t>
        </is>
      </c>
      <c r="C57" s="10" t="n"/>
      <c r="D57" s="10" t="n"/>
      <c r="E57" s="10" t="n"/>
      <c r="F57" s="10" t="n"/>
      <c r="G57" s="10" t="n"/>
      <c r="H57" s="10" t="n"/>
    </row>
    <row r="58">
      <c r="A58" s="12" t="inlineStr">
        <is>
          <t>U6</t>
        </is>
      </c>
      <c r="B58" s="12" t="inlineStr">
        <is>
          <t>T7</t>
        </is>
      </c>
      <c r="C58" s="10" t="n"/>
      <c r="D58" s="10" t="n"/>
      <c r="E58" s="10" t="n"/>
      <c r="F58" s="10" t="n"/>
      <c r="G58" s="10" t="n"/>
      <c r="H58" s="10" t="n"/>
    </row>
    <row r="59">
      <c r="A59" s="12" t="inlineStr">
        <is>
          <t>U6</t>
        </is>
      </c>
      <c r="B59" s="12" t="inlineStr">
        <is>
          <t>T8</t>
        </is>
      </c>
      <c r="C59" s="10" t="n"/>
      <c r="D59" s="10" t="n"/>
      <c r="E59" s="10" t="n"/>
      <c r="F59" s="10" t="n"/>
      <c r="G59" s="10" t="n"/>
      <c r="H59" s="10" t="n"/>
    </row>
    <row r="60">
      <c r="A60" s="12" t="inlineStr">
        <is>
          <t>U6</t>
        </is>
      </c>
      <c r="B60" s="12" t="inlineStr">
        <is>
          <t>T9</t>
        </is>
      </c>
      <c r="C60" s="10" t="n"/>
      <c r="D60" s="10" t="n"/>
      <c r="E60" s="10" t="n"/>
      <c r="F60" s="10" t="n"/>
      <c r="G60" s="10" t="n"/>
      <c r="H60" s="10" t="n"/>
    </row>
    <row r="61">
      <c r="A61" s="12" t="inlineStr">
        <is>
          <t>U6</t>
        </is>
      </c>
      <c r="B61" s="12" t="inlineStr">
        <is>
          <t>T10</t>
        </is>
      </c>
      <c r="C61" s="10" t="n"/>
      <c r="D61" s="10" t="n"/>
      <c r="E61" s="10" t="n"/>
      <c r="F61" s="10" t="n"/>
      <c r="G61" s="10" t="n"/>
      <c r="H61" s="10" t="n"/>
    </row>
    <row r="62">
      <c r="A62" s="12" t="inlineStr">
        <is>
          <t>U7</t>
        </is>
      </c>
      <c r="B62" s="12" t="inlineStr">
        <is>
          <t>T1</t>
        </is>
      </c>
      <c r="C62" s="10" t="n"/>
      <c r="D62" s="10" t="n"/>
      <c r="E62" s="10" t="n"/>
      <c r="F62" s="10" t="n"/>
      <c r="G62" s="10" t="n"/>
      <c r="H62" s="10" t="n"/>
    </row>
    <row r="63">
      <c r="A63" s="12" t="inlineStr">
        <is>
          <t>U7</t>
        </is>
      </c>
      <c r="B63" s="12" t="inlineStr">
        <is>
          <t>T2</t>
        </is>
      </c>
      <c r="C63" s="10" t="n"/>
      <c r="D63" s="10" t="n"/>
      <c r="E63" s="10" t="n"/>
      <c r="F63" s="10" t="n"/>
      <c r="G63" s="10" t="n"/>
      <c r="H63" s="10" t="n"/>
    </row>
    <row r="64">
      <c r="A64" s="12" t="inlineStr">
        <is>
          <t>U7</t>
        </is>
      </c>
      <c r="B64" s="12" t="inlineStr">
        <is>
          <t>T3</t>
        </is>
      </c>
      <c r="C64" s="10" t="n"/>
      <c r="D64" s="10" t="n"/>
      <c r="E64" s="10" t="n"/>
      <c r="F64" s="10" t="n"/>
      <c r="G64" s="10" t="n"/>
      <c r="H64" s="10" t="n"/>
    </row>
    <row r="65">
      <c r="A65" s="12" t="inlineStr">
        <is>
          <t>U7</t>
        </is>
      </c>
      <c r="B65" s="12" t="inlineStr">
        <is>
          <t>T4</t>
        </is>
      </c>
      <c r="C65" s="10" t="n"/>
      <c r="D65" s="10" t="n"/>
      <c r="E65" s="10" t="n"/>
      <c r="F65" s="10" t="n"/>
      <c r="G65" s="10" t="n"/>
      <c r="H65" s="10" t="n"/>
    </row>
    <row r="66">
      <c r="A66" s="12" t="inlineStr">
        <is>
          <t>U7</t>
        </is>
      </c>
      <c r="B66" s="12" t="inlineStr">
        <is>
          <t>T5</t>
        </is>
      </c>
      <c r="C66" s="10" t="n"/>
      <c r="D66" s="10" t="n"/>
      <c r="E66" s="10" t="n"/>
      <c r="F66" s="10" t="n"/>
      <c r="G66" s="10" t="n"/>
      <c r="H66" s="10" t="n"/>
    </row>
    <row r="67">
      <c r="A67" s="12" t="inlineStr">
        <is>
          <t>U7</t>
        </is>
      </c>
      <c r="B67" s="12" t="inlineStr">
        <is>
          <t>T6</t>
        </is>
      </c>
      <c r="C67" s="10" t="n"/>
      <c r="D67" s="10" t="n"/>
      <c r="E67" s="10" t="n"/>
      <c r="F67" s="10" t="n"/>
      <c r="G67" s="10" t="n"/>
      <c r="H67" s="10" t="n"/>
    </row>
    <row r="68">
      <c r="A68" s="12" t="inlineStr">
        <is>
          <t>U7</t>
        </is>
      </c>
      <c r="B68" s="12" t="inlineStr">
        <is>
          <t>T7</t>
        </is>
      </c>
      <c r="C68" s="10" t="n"/>
      <c r="D68" s="10" t="n"/>
      <c r="E68" s="10" t="n"/>
      <c r="F68" s="10" t="n"/>
      <c r="G68" s="10" t="n"/>
      <c r="H68" s="10" t="n"/>
    </row>
    <row r="69">
      <c r="A69" s="12" t="inlineStr">
        <is>
          <t>U7</t>
        </is>
      </c>
      <c r="B69" s="12" t="inlineStr">
        <is>
          <t>T8</t>
        </is>
      </c>
      <c r="C69" s="10" t="n"/>
      <c r="D69" s="10" t="n"/>
      <c r="E69" s="10" t="n"/>
      <c r="F69" s="10" t="n"/>
      <c r="G69" s="10" t="n"/>
      <c r="H69" s="10" t="n"/>
    </row>
    <row r="70">
      <c r="A70" s="12" t="inlineStr">
        <is>
          <t>U7</t>
        </is>
      </c>
      <c r="B70" s="12" t="inlineStr">
        <is>
          <t>T9</t>
        </is>
      </c>
      <c r="C70" s="10" t="n"/>
      <c r="D70" s="10" t="n"/>
      <c r="E70" s="10" t="n"/>
      <c r="F70" s="10" t="n"/>
      <c r="G70" s="10" t="n"/>
      <c r="H70" s="10" t="n"/>
    </row>
    <row r="71">
      <c r="A71" s="12" t="inlineStr">
        <is>
          <t>U7</t>
        </is>
      </c>
      <c r="B71" s="12" t="inlineStr">
        <is>
          <t>T10</t>
        </is>
      </c>
      <c r="C71" s="10" t="n"/>
      <c r="D71" s="10" t="n"/>
      <c r="E71" s="10" t="n"/>
      <c r="F71" s="10" t="n"/>
      <c r="G71" s="10" t="n"/>
      <c r="H71" s="10" t="n"/>
    </row>
    <row r="72">
      <c r="A72" s="12" t="inlineStr">
        <is>
          <t>U8</t>
        </is>
      </c>
      <c r="B72" s="12" t="inlineStr">
        <is>
          <t>T1</t>
        </is>
      </c>
      <c r="C72" s="10" t="n"/>
      <c r="D72" s="10" t="n"/>
      <c r="E72" s="10" t="n"/>
      <c r="F72" s="10" t="n"/>
      <c r="G72" s="10" t="n"/>
      <c r="H72" s="10" t="n"/>
    </row>
    <row r="73">
      <c r="A73" s="12" t="inlineStr">
        <is>
          <t>U8</t>
        </is>
      </c>
      <c r="B73" s="12" t="inlineStr">
        <is>
          <t>T2</t>
        </is>
      </c>
      <c r="C73" s="10" t="n"/>
      <c r="D73" s="10" t="n"/>
      <c r="E73" s="10" t="n"/>
      <c r="F73" s="10" t="n"/>
      <c r="G73" s="10" t="n"/>
      <c r="H73" s="10" t="n"/>
    </row>
    <row r="74">
      <c r="A74" s="12" t="inlineStr">
        <is>
          <t>U8</t>
        </is>
      </c>
      <c r="B74" s="12" t="inlineStr">
        <is>
          <t>T3</t>
        </is>
      </c>
      <c r="C74" s="10" t="n"/>
      <c r="D74" s="10" t="n"/>
      <c r="E74" s="10" t="n"/>
      <c r="F74" s="10" t="n"/>
      <c r="G74" s="10" t="n"/>
      <c r="H74" s="10" t="n"/>
    </row>
    <row r="75">
      <c r="A75" s="12" t="inlineStr">
        <is>
          <t>U8</t>
        </is>
      </c>
      <c r="B75" s="12" t="inlineStr">
        <is>
          <t>T4</t>
        </is>
      </c>
      <c r="C75" s="10" t="n"/>
      <c r="D75" s="10" t="n"/>
      <c r="E75" s="10" t="n"/>
      <c r="F75" s="10" t="n"/>
      <c r="G75" s="10" t="n"/>
      <c r="H75" s="10" t="n"/>
    </row>
    <row r="76">
      <c r="A76" s="12" t="inlineStr">
        <is>
          <t>U8</t>
        </is>
      </c>
      <c r="B76" s="12" t="inlineStr">
        <is>
          <t>T5</t>
        </is>
      </c>
      <c r="C76" s="10" t="n"/>
      <c r="D76" s="10" t="n"/>
      <c r="E76" s="10" t="n"/>
      <c r="F76" s="10" t="n"/>
      <c r="G76" s="10" t="n"/>
      <c r="H76" s="10" t="n"/>
    </row>
    <row r="77">
      <c r="A77" s="12" t="inlineStr">
        <is>
          <t>U8</t>
        </is>
      </c>
      <c r="B77" s="12" t="inlineStr">
        <is>
          <t>T6</t>
        </is>
      </c>
      <c r="C77" s="10" t="n"/>
      <c r="D77" s="10" t="n"/>
      <c r="E77" s="10" t="n"/>
      <c r="F77" s="10" t="n"/>
      <c r="G77" s="10" t="n"/>
      <c r="H77" s="10" t="n"/>
    </row>
    <row r="78">
      <c r="A78" s="12" t="inlineStr">
        <is>
          <t>U8</t>
        </is>
      </c>
      <c r="B78" s="12" t="inlineStr">
        <is>
          <t>T7</t>
        </is>
      </c>
      <c r="C78" s="10" t="n"/>
      <c r="D78" s="10" t="n"/>
      <c r="E78" s="10" t="n"/>
      <c r="F78" s="10" t="n"/>
      <c r="G78" s="10" t="n"/>
      <c r="H78" s="10" t="n"/>
    </row>
    <row r="79">
      <c r="A79" s="12" t="inlineStr">
        <is>
          <t>U8</t>
        </is>
      </c>
      <c r="B79" s="12" t="inlineStr">
        <is>
          <t>T8</t>
        </is>
      </c>
      <c r="C79" s="10" t="n"/>
      <c r="D79" s="10" t="n"/>
      <c r="E79" s="10" t="n"/>
      <c r="F79" s="10" t="n"/>
      <c r="G79" s="10" t="n"/>
      <c r="H79" s="10" t="n"/>
    </row>
    <row r="80">
      <c r="A80" s="12" t="inlineStr">
        <is>
          <t>U8</t>
        </is>
      </c>
      <c r="B80" s="12" t="inlineStr">
        <is>
          <t>T9</t>
        </is>
      </c>
      <c r="C80" s="10" t="n"/>
      <c r="D80" s="10" t="n"/>
      <c r="E80" s="10" t="n"/>
      <c r="F80" s="10" t="n"/>
      <c r="G80" s="10" t="n"/>
      <c r="H80" s="10" t="n"/>
    </row>
    <row r="81">
      <c r="A81" s="12" t="inlineStr">
        <is>
          <t>U8</t>
        </is>
      </c>
      <c r="B81" s="12" t="inlineStr">
        <is>
          <t>T10</t>
        </is>
      </c>
      <c r="C81" s="10" t="n"/>
      <c r="D81" s="10" t="n"/>
      <c r="E81" s="10" t="n"/>
      <c r="F81" s="10" t="n"/>
      <c r="G81" s="10" t="n"/>
      <c r="H81" s="10" t="n"/>
    </row>
    <row r="82">
      <c r="A82" s="12" t="inlineStr">
        <is>
          <t>U9</t>
        </is>
      </c>
      <c r="B82" s="12" t="inlineStr">
        <is>
          <t>T1</t>
        </is>
      </c>
      <c r="C82" s="10" t="n"/>
      <c r="D82" s="10" t="n"/>
      <c r="E82" s="10" t="n"/>
      <c r="F82" s="10" t="n"/>
      <c r="G82" s="10" t="n"/>
      <c r="H82" s="10" t="n"/>
    </row>
    <row r="83">
      <c r="A83" s="12" t="inlineStr">
        <is>
          <t>U9</t>
        </is>
      </c>
      <c r="B83" s="12" t="inlineStr">
        <is>
          <t>T2</t>
        </is>
      </c>
      <c r="C83" s="10" t="n"/>
      <c r="D83" s="10" t="n"/>
      <c r="E83" s="10" t="n"/>
      <c r="F83" s="10" t="n"/>
      <c r="G83" s="10" t="n"/>
      <c r="H83" s="10" t="n"/>
    </row>
    <row r="84">
      <c r="A84" s="12" t="inlineStr">
        <is>
          <t>U9</t>
        </is>
      </c>
      <c r="B84" s="12" t="inlineStr">
        <is>
          <t>T3</t>
        </is>
      </c>
      <c r="C84" s="10" t="n"/>
      <c r="D84" s="10" t="n"/>
      <c r="E84" s="10" t="n"/>
      <c r="F84" s="10" t="n"/>
      <c r="G84" s="10" t="n"/>
      <c r="H84" s="10" t="n"/>
    </row>
    <row r="85">
      <c r="A85" s="12" t="inlineStr">
        <is>
          <t>U9</t>
        </is>
      </c>
      <c r="B85" s="12" t="inlineStr">
        <is>
          <t>T4</t>
        </is>
      </c>
      <c r="C85" s="10" t="n"/>
      <c r="D85" s="10" t="n"/>
      <c r="E85" s="10" t="n"/>
      <c r="F85" s="10" t="n"/>
      <c r="G85" s="10" t="n"/>
      <c r="H85" s="10" t="n"/>
    </row>
    <row r="86">
      <c r="A86" s="12" t="inlineStr">
        <is>
          <t>U9</t>
        </is>
      </c>
      <c r="B86" s="12" t="inlineStr">
        <is>
          <t>T5</t>
        </is>
      </c>
      <c r="C86" s="10" t="n"/>
      <c r="D86" s="10" t="n"/>
      <c r="E86" s="10" t="n"/>
      <c r="F86" s="10" t="n"/>
      <c r="G86" s="10" t="n"/>
      <c r="H86" s="10" t="n"/>
    </row>
    <row r="87">
      <c r="A87" s="12" t="inlineStr">
        <is>
          <t>U9</t>
        </is>
      </c>
      <c r="B87" s="12" t="inlineStr">
        <is>
          <t>T6</t>
        </is>
      </c>
      <c r="C87" s="10" t="n"/>
      <c r="D87" s="10" t="n"/>
      <c r="E87" s="10" t="n"/>
      <c r="F87" s="10" t="n"/>
      <c r="G87" s="10" t="n"/>
      <c r="H87" s="10" t="n"/>
    </row>
    <row r="88">
      <c r="A88" s="12" t="inlineStr">
        <is>
          <t>U9</t>
        </is>
      </c>
      <c r="B88" s="12" t="inlineStr">
        <is>
          <t>T7</t>
        </is>
      </c>
      <c r="C88" s="10" t="n"/>
      <c r="D88" s="10" t="n"/>
      <c r="E88" s="10" t="n"/>
      <c r="F88" s="10" t="n"/>
      <c r="G88" s="10" t="n"/>
      <c r="H88" s="10" t="n"/>
    </row>
    <row r="89">
      <c r="A89" s="12" t="inlineStr">
        <is>
          <t>U9</t>
        </is>
      </c>
      <c r="B89" s="12" t="inlineStr">
        <is>
          <t>T8</t>
        </is>
      </c>
      <c r="C89" s="10" t="n"/>
      <c r="D89" s="10" t="n"/>
      <c r="E89" s="10" t="n"/>
      <c r="F89" s="10" t="n"/>
      <c r="G89" s="10" t="n"/>
      <c r="H89" s="10" t="n"/>
    </row>
    <row r="90">
      <c r="A90" s="12" t="inlineStr">
        <is>
          <t>U9</t>
        </is>
      </c>
      <c r="B90" s="12" t="inlineStr">
        <is>
          <t>T9</t>
        </is>
      </c>
      <c r="C90" s="10" t="n"/>
      <c r="D90" s="10" t="n"/>
      <c r="E90" s="10" t="n"/>
      <c r="F90" s="10" t="n"/>
      <c r="G90" s="10" t="n"/>
      <c r="H90" s="10" t="n"/>
    </row>
    <row r="91">
      <c r="A91" s="12" t="inlineStr">
        <is>
          <t>U9</t>
        </is>
      </c>
      <c r="B91" s="12" t="inlineStr">
        <is>
          <t>T10</t>
        </is>
      </c>
      <c r="C91" s="10" t="n"/>
      <c r="D91" s="10" t="n"/>
      <c r="E91" s="10" t="n"/>
      <c r="F91" s="10" t="n"/>
      <c r="G91" s="10" t="n"/>
      <c r="H91" s="10" t="n"/>
    </row>
    <row r="92">
      <c r="A92" s="12" t="inlineStr">
        <is>
          <t>U10</t>
        </is>
      </c>
      <c r="B92" s="12" t="inlineStr">
        <is>
          <t>T1</t>
        </is>
      </c>
      <c r="C92" s="10" t="n"/>
      <c r="D92" s="10" t="n"/>
      <c r="E92" s="10" t="n"/>
      <c r="F92" s="10" t="n"/>
      <c r="G92" s="10" t="n"/>
      <c r="H92" s="10" t="n"/>
    </row>
    <row r="93">
      <c r="A93" s="12" t="inlineStr">
        <is>
          <t>U10</t>
        </is>
      </c>
      <c r="B93" s="12" t="inlineStr">
        <is>
          <t>T2</t>
        </is>
      </c>
      <c r="C93" s="10" t="n"/>
      <c r="D93" s="10" t="n"/>
      <c r="E93" s="10" t="n"/>
      <c r="F93" s="10" t="n"/>
      <c r="G93" s="10" t="n"/>
      <c r="H93" s="10" t="n"/>
    </row>
    <row r="94">
      <c r="A94" s="12" t="inlineStr">
        <is>
          <t>U10</t>
        </is>
      </c>
      <c r="B94" s="12" t="inlineStr">
        <is>
          <t>T3</t>
        </is>
      </c>
      <c r="C94" s="10" t="n"/>
      <c r="D94" s="10" t="n"/>
      <c r="E94" s="10" t="n"/>
      <c r="F94" s="10" t="n"/>
      <c r="G94" s="10" t="n"/>
      <c r="H94" s="10" t="n"/>
    </row>
    <row r="95">
      <c r="A95" s="12" t="inlineStr">
        <is>
          <t>U10</t>
        </is>
      </c>
      <c r="B95" s="12" t="inlineStr">
        <is>
          <t>T4</t>
        </is>
      </c>
      <c r="C95" s="10" t="n"/>
      <c r="D95" s="10" t="n"/>
      <c r="E95" s="10" t="n"/>
      <c r="F95" s="10" t="n"/>
      <c r="G95" s="10" t="n"/>
      <c r="H95" s="10" t="n"/>
    </row>
    <row r="96">
      <c r="A96" s="12" t="inlineStr">
        <is>
          <t>U10</t>
        </is>
      </c>
      <c r="B96" s="12" t="inlineStr">
        <is>
          <t>T5</t>
        </is>
      </c>
      <c r="C96" s="10" t="n"/>
      <c r="D96" s="10" t="n"/>
      <c r="E96" s="10" t="n"/>
      <c r="F96" s="10" t="n"/>
      <c r="G96" s="10" t="n"/>
      <c r="H96" s="10" t="n"/>
    </row>
    <row r="97">
      <c r="A97" s="12" t="inlineStr">
        <is>
          <t>U10</t>
        </is>
      </c>
      <c r="B97" s="12" t="inlineStr">
        <is>
          <t>T6</t>
        </is>
      </c>
      <c r="C97" s="10" t="n"/>
      <c r="D97" s="10" t="n"/>
      <c r="E97" s="10" t="n"/>
      <c r="F97" s="10" t="n"/>
      <c r="G97" s="10" t="n"/>
      <c r="H97" s="10" t="n"/>
    </row>
    <row r="98">
      <c r="A98" s="12" t="inlineStr">
        <is>
          <t>U10</t>
        </is>
      </c>
      <c r="B98" s="12" t="inlineStr">
        <is>
          <t>T7</t>
        </is>
      </c>
      <c r="C98" s="10" t="n"/>
      <c r="D98" s="10" t="n"/>
      <c r="E98" s="10" t="n"/>
      <c r="F98" s="10" t="n"/>
      <c r="G98" s="10" t="n"/>
      <c r="H98" s="10" t="n"/>
    </row>
    <row r="99">
      <c r="A99" s="12" t="inlineStr">
        <is>
          <t>U10</t>
        </is>
      </c>
      <c r="B99" s="12" t="inlineStr">
        <is>
          <t>T8</t>
        </is>
      </c>
      <c r="C99" s="10" t="n"/>
      <c r="D99" s="10" t="n"/>
      <c r="E99" s="10" t="n"/>
      <c r="F99" s="10" t="n"/>
      <c r="G99" s="10" t="n"/>
      <c r="H99" s="10" t="n"/>
    </row>
    <row r="100">
      <c r="A100" s="12" t="inlineStr">
        <is>
          <t>U10</t>
        </is>
      </c>
      <c r="B100" s="12" t="inlineStr">
        <is>
          <t>T9</t>
        </is>
      </c>
      <c r="C100" s="10" t="n"/>
      <c r="D100" s="10" t="n"/>
      <c r="E100" s="10" t="n"/>
      <c r="F100" s="10" t="n"/>
      <c r="G100" s="10" t="n"/>
      <c r="H100" s="10" t="n"/>
    </row>
    <row r="101">
      <c r="A101" s="12" t="inlineStr">
        <is>
          <t>U10</t>
        </is>
      </c>
      <c r="B101" s="12" t="inlineStr">
        <is>
          <t>T10</t>
        </is>
      </c>
      <c r="C101" s="10" t="n"/>
      <c r="D101" s="10" t="n"/>
      <c r="E101" s="10" t="n"/>
      <c r="F101" s="10" t="n"/>
      <c r="G101" s="10" t="n"/>
      <c r="H101" s="10" t="n"/>
    </row>
    <row r="102">
      <c r="A102" s="10" t="n"/>
      <c r="B102" s="10" t="n"/>
      <c r="C102" s="10" t="n"/>
      <c r="D102" s="10" t="n"/>
      <c r="E102" s="10" t="n"/>
      <c r="F102" s="10" t="n"/>
      <c r="G102" s="10" t="n"/>
      <c r="H102" s="10" t="n"/>
    </row>
    <row r="103">
      <c r="A103" s="10" t="n"/>
      <c r="B103" s="10" t="n"/>
      <c r="C103" s="10" t="n"/>
      <c r="D103" s="10" t="n"/>
      <c r="E103" s="10" t="n"/>
      <c r="F103" s="10" t="n"/>
      <c r="G103" s="10" t="n"/>
      <c r="H103" s="10" t="n"/>
    </row>
    <row r="104">
      <c r="A104" s="10" t="n"/>
      <c r="B104" s="10" t="n"/>
      <c r="C104" s="10" t="n"/>
      <c r="D104" s="10" t="n"/>
      <c r="E104" s="10" t="n"/>
      <c r="F104" s="10" t="n"/>
      <c r="G104" s="10" t="n"/>
      <c r="H104" s="10" t="n"/>
    </row>
    <row r="105">
      <c r="A105" s="10" t="n"/>
      <c r="B105" s="10" t="n"/>
      <c r="C105" s="10" t="n"/>
      <c r="D105" s="10" t="n"/>
      <c r="E105" s="10" t="n"/>
      <c r="F105" s="10" t="n"/>
      <c r="G105" s="10" t="n"/>
      <c r="H105" s="10" t="n"/>
    </row>
    <row r="106">
      <c r="A106" s="10" t="n"/>
      <c r="B106" s="10" t="n"/>
      <c r="C106" s="10" t="n"/>
      <c r="D106" s="10" t="n"/>
      <c r="E106" s="10" t="n"/>
      <c r="F106" s="10" t="n"/>
      <c r="G106" s="10" t="n"/>
      <c r="H106" s="10" t="n"/>
    </row>
    <row r="107">
      <c r="A107" s="10" t="n"/>
      <c r="B107" s="10" t="n"/>
      <c r="C107" s="10" t="n"/>
      <c r="D107" s="10" t="n"/>
      <c r="E107" s="10" t="n"/>
      <c r="F107" s="10" t="n"/>
      <c r="G107" s="10" t="n"/>
      <c r="H107" s="10" t="n"/>
    </row>
    <row r="108">
      <c r="A108" s="10" t="n"/>
      <c r="B108" s="10" t="n"/>
      <c r="C108" s="10" t="n"/>
      <c r="D108" s="10" t="n"/>
      <c r="E108" s="10" t="n"/>
      <c r="F108" s="10" t="n"/>
      <c r="G108" s="10" t="n"/>
      <c r="H108" s="10" t="n"/>
    </row>
    <row r="109">
      <c r="A109" s="10" t="n"/>
      <c r="B109" s="10" t="n"/>
      <c r="C109" s="10" t="n"/>
      <c r="D109" s="10" t="n"/>
      <c r="E109" s="10" t="n"/>
      <c r="F109" s="10" t="n"/>
      <c r="G109" s="10" t="n"/>
      <c r="H109" s="10" t="n"/>
    </row>
    <row r="110">
      <c r="A110" s="10" t="n"/>
      <c r="B110" s="10" t="n"/>
      <c r="C110" s="10" t="n"/>
      <c r="D110" s="10" t="n"/>
      <c r="E110" s="10" t="n"/>
      <c r="F110" s="10" t="n"/>
      <c r="G110" s="10" t="n"/>
      <c r="H110" s="10" t="n"/>
    </row>
    <row r="111">
      <c r="A111" s="10" t="n"/>
      <c r="B111" s="10" t="n"/>
      <c r="C111" s="10" t="n"/>
      <c r="D111" s="10" t="n"/>
      <c r="E111" s="10" t="n"/>
      <c r="F111" s="10" t="n"/>
      <c r="G111" s="10" t="n"/>
      <c r="H111" s="10" t="n"/>
    </row>
    <row r="112">
      <c r="A112" s="10" t="n"/>
      <c r="B112" s="10" t="n"/>
      <c r="C112" s="10" t="n"/>
      <c r="D112" s="10" t="n"/>
      <c r="E112" s="10" t="n"/>
      <c r="F112" s="10" t="n"/>
      <c r="G112" s="10" t="n"/>
      <c r="H112" s="10" t="n"/>
    </row>
    <row r="113">
      <c r="A113" s="10" t="n"/>
      <c r="B113" s="10" t="n"/>
      <c r="C113" s="10" t="n"/>
      <c r="D113" s="10" t="n"/>
      <c r="E113" s="10" t="n"/>
      <c r="F113" s="10" t="n"/>
      <c r="G113" s="10" t="n"/>
      <c r="H113" s="10" t="n"/>
    </row>
    <row r="114">
      <c r="A114" s="10" t="n"/>
      <c r="B114" s="10" t="n"/>
      <c r="C114" s="10" t="n"/>
      <c r="D114" s="10" t="n"/>
      <c r="E114" s="10" t="n"/>
      <c r="F114" s="10" t="n"/>
      <c r="G114" s="10" t="n"/>
      <c r="H114" s="10" t="n"/>
    </row>
    <row r="115">
      <c r="A115" s="10" t="n"/>
      <c r="B115" s="10" t="n"/>
      <c r="C115" s="10" t="n"/>
      <c r="D115" s="10" t="n"/>
      <c r="E115" s="10" t="n"/>
      <c r="F115" s="10" t="n"/>
      <c r="G115" s="10" t="n"/>
      <c r="H115" s="10" t="n"/>
    </row>
    <row r="116">
      <c r="A116" s="10" t="n"/>
      <c r="B116" s="10" t="n"/>
      <c r="C116" s="10" t="n"/>
      <c r="D116" s="10" t="n"/>
      <c r="E116" s="10" t="n"/>
      <c r="F116" s="10" t="n"/>
      <c r="G116" s="10" t="n"/>
      <c r="H116" s="10" t="n"/>
    </row>
    <row r="117">
      <c r="A117" s="10" t="n"/>
      <c r="B117" s="10" t="n"/>
      <c r="C117" s="10" t="n"/>
      <c r="D117" s="10" t="n"/>
      <c r="E117" s="10" t="n"/>
      <c r="F117" s="10" t="n"/>
      <c r="G117" s="10" t="n"/>
      <c r="H117" s="10" t="n"/>
    </row>
    <row r="118">
      <c r="A118" s="10" t="n"/>
      <c r="B118" s="10" t="n"/>
      <c r="C118" s="10" t="n"/>
      <c r="D118" s="10" t="n"/>
      <c r="E118" s="10" t="n"/>
      <c r="F118" s="10" t="n"/>
      <c r="G118" s="10" t="n"/>
      <c r="H118" s="10" t="n"/>
    </row>
    <row r="119">
      <c r="A119" s="10" t="n"/>
      <c r="B119" s="10" t="n"/>
      <c r="C119" s="10" t="n"/>
      <c r="D119" s="10" t="n"/>
      <c r="E119" s="10" t="n"/>
      <c r="F119" s="10" t="n"/>
      <c r="G119" s="10" t="n"/>
      <c r="H119" s="10" t="n"/>
    </row>
    <row r="120">
      <c r="A120" s="10" t="n"/>
      <c r="B120" s="10" t="n"/>
      <c r="C120" s="10" t="n"/>
      <c r="D120" s="10" t="n"/>
      <c r="E120" s="10" t="n"/>
      <c r="F120" s="10" t="n"/>
      <c r="G120" s="10" t="n"/>
      <c r="H120" s="10" t="n"/>
    </row>
    <row r="121">
      <c r="A121" s="10" t="n"/>
      <c r="B121" s="10" t="n"/>
      <c r="C121" s="10" t="n"/>
      <c r="D121" s="10" t="n"/>
      <c r="E121" s="10" t="n"/>
      <c r="F121" s="10" t="n"/>
      <c r="G121" s="10" t="n"/>
      <c r="H121" s="10" t="n"/>
    </row>
    <row r="122">
      <c r="A122" s="10" t="n"/>
      <c r="B122" s="10" t="n"/>
      <c r="C122" s="10" t="n"/>
      <c r="D122" s="10" t="n"/>
      <c r="E122" s="10" t="n"/>
      <c r="F122" s="10" t="n"/>
      <c r="G122" s="10" t="n"/>
      <c r="H122" s="10" t="n"/>
    </row>
    <row r="123">
      <c r="A123" s="10" t="n"/>
      <c r="B123" s="10" t="n"/>
      <c r="C123" s="10" t="n"/>
      <c r="D123" s="10" t="n"/>
      <c r="E123" s="10" t="n"/>
      <c r="F123" s="10" t="n"/>
      <c r="G123" s="10" t="n"/>
      <c r="H123" s="10" t="n"/>
    </row>
    <row r="124">
      <c r="A124" s="10" t="n"/>
      <c r="B124" s="10" t="n"/>
      <c r="C124" s="10" t="n"/>
      <c r="D124" s="10" t="n"/>
      <c r="E124" s="10" t="n"/>
      <c r="F124" s="10" t="n"/>
      <c r="G124" s="10" t="n"/>
      <c r="H124" s="10" t="n"/>
    </row>
    <row r="125">
      <c r="A125" s="10" t="n"/>
      <c r="B125" s="10" t="n"/>
      <c r="C125" s="10" t="n"/>
      <c r="D125" s="10" t="n"/>
      <c r="E125" s="10" t="n"/>
      <c r="F125" s="10" t="n"/>
      <c r="G125" s="10" t="n"/>
      <c r="H125" s="10" t="n"/>
    </row>
    <row r="126">
      <c r="A126" s="10" t="n"/>
      <c r="B126" s="10" t="n"/>
      <c r="C126" s="10" t="n"/>
      <c r="D126" s="10" t="n"/>
      <c r="E126" s="10" t="n"/>
      <c r="F126" s="10" t="n"/>
      <c r="G126" s="10" t="n"/>
      <c r="H126" s="10" t="n"/>
    </row>
    <row r="127">
      <c r="A127" s="10" t="n"/>
      <c r="B127" s="10" t="n"/>
      <c r="C127" s="10" t="n"/>
      <c r="D127" s="10" t="n"/>
      <c r="E127" s="10" t="n"/>
      <c r="F127" s="10" t="n"/>
      <c r="G127" s="10" t="n"/>
      <c r="H127" s="10" t="n"/>
    </row>
    <row r="128">
      <c r="A128" s="10" t="n"/>
      <c r="B128" s="10" t="n"/>
      <c r="C128" s="10" t="n"/>
      <c r="D128" s="10" t="n"/>
      <c r="E128" s="10" t="n"/>
      <c r="F128" s="10" t="n"/>
      <c r="G128" s="10" t="n"/>
      <c r="H128" s="10" t="n"/>
    </row>
    <row r="129">
      <c r="A129" s="10" t="n"/>
      <c r="B129" s="10" t="n"/>
      <c r="C129" s="10" t="n"/>
      <c r="D129" s="10" t="n"/>
      <c r="E129" s="10" t="n"/>
      <c r="F129" s="10" t="n"/>
      <c r="G129" s="10" t="n"/>
      <c r="H129" s="10" t="n"/>
    </row>
    <row r="130">
      <c r="A130" s="10" t="n"/>
      <c r="B130" s="10" t="n"/>
      <c r="C130" s="10" t="n"/>
      <c r="D130" s="10" t="n"/>
      <c r="E130" s="10" t="n"/>
      <c r="F130" s="10" t="n"/>
      <c r="G130" s="10" t="n"/>
      <c r="H130" s="10" t="n"/>
    </row>
    <row r="131">
      <c r="A131" s="10" t="n"/>
      <c r="B131" s="10" t="n"/>
      <c r="C131" s="10" t="n"/>
      <c r="D131" s="10" t="n"/>
      <c r="E131" s="10" t="n"/>
      <c r="F131" s="10" t="n"/>
      <c r="G131" s="10" t="n"/>
      <c r="H131" s="10" t="n"/>
    </row>
    <row r="132">
      <c r="A132" s="10" t="n"/>
      <c r="B132" s="10" t="n"/>
      <c r="C132" s="10" t="n"/>
      <c r="D132" s="10" t="n"/>
      <c r="E132" s="10" t="n"/>
      <c r="F132" s="10" t="n"/>
      <c r="G132" s="10" t="n"/>
      <c r="H132" s="10" t="n"/>
    </row>
    <row r="133">
      <c r="A133" s="10" t="n"/>
      <c r="B133" s="10" t="n"/>
      <c r="C133" s="10" t="n"/>
      <c r="D133" s="10" t="n"/>
      <c r="E133" s="10" t="n"/>
      <c r="F133" s="10" t="n"/>
      <c r="G133" s="10" t="n"/>
      <c r="H133" s="10" t="n"/>
    </row>
    <row r="134">
      <c r="A134" s="10" t="n"/>
      <c r="B134" s="10" t="n"/>
      <c r="C134" s="10" t="n"/>
      <c r="D134" s="10" t="n"/>
      <c r="E134" s="10" t="n"/>
      <c r="F134" s="10" t="n"/>
      <c r="G134" s="10" t="n"/>
      <c r="H134" s="10" t="n"/>
    </row>
    <row r="135">
      <c r="A135" s="10" t="n"/>
      <c r="B135" s="10" t="n"/>
      <c r="C135" s="10" t="n"/>
      <c r="D135" s="10" t="n"/>
      <c r="E135" s="10" t="n"/>
      <c r="F135" s="10" t="n"/>
      <c r="G135" s="10" t="n"/>
      <c r="H135" s="10" t="n"/>
    </row>
    <row r="136">
      <c r="A136" s="10" t="n"/>
      <c r="B136" s="10" t="n"/>
      <c r="C136" s="10" t="n"/>
      <c r="D136" s="10" t="n"/>
      <c r="E136" s="10" t="n"/>
      <c r="F136" s="10" t="n"/>
      <c r="G136" s="10" t="n"/>
      <c r="H136" s="10" t="n"/>
    </row>
    <row r="137">
      <c r="A137" s="10" t="n"/>
      <c r="B137" s="10" t="n"/>
      <c r="C137" s="10" t="n"/>
      <c r="D137" s="10" t="n"/>
      <c r="E137" s="10" t="n"/>
      <c r="F137" s="10" t="n"/>
      <c r="G137" s="10" t="n"/>
      <c r="H137" s="10" t="n"/>
    </row>
    <row r="138">
      <c r="A138" s="10" t="n"/>
      <c r="B138" s="10" t="n"/>
      <c r="C138" s="10" t="n"/>
      <c r="D138" s="10" t="n"/>
      <c r="E138" s="10" t="n"/>
      <c r="F138" s="10" t="n"/>
      <c r="G138" s="10" t="n"/>
      <c r="H138" s="10" t="n"/>
    </row>
    <row r="139">
      <c r="A139" s="10" t="n"/>
      <c r="B139" s="10" t="n"/>
      <c r="C139" s="10" t="n"/>
      <c r="D139" s="10" t="n"/>
      <c r="E139" s="10" t="n"/>
      <c r="F139" s="10" t="n"/>
      <c r="G139" s="10" t="n"/>
      <c r="H139" s="10" t="n"/>
    </row>
    <row r="140">
      <c r="A140" s="10" t="n"/>
      <c r="B140" s="10" t="n"/>
      <c r="C140" s="10" t="n"/>
      <c r="D140" s="10" t="n"/>
      <c r="E140" s="10" t="n"/>
      <c r="F140" s="10" t="n"/>
      <c r="G140" s="10" t="n"/>
      <c r="H140" s="10" t="n"/>
    </row>
    <row r="141">
      <c r="A141" s="10" t="n"/>
      <c r="B141" s="10" t="n"/>
      <c r="C141" s="10" t="n"/>
      <c r="D141" s="10" t="n"/>
      <c r="E141" s="10" t="n"/>
      <c r="F141" s="10" t="n"/>
      <c r="G141" s="10" t="n"/>
      <c r="H141" s="10" t="n"/>
    </row>
    <row r="142">
      <c r="A142" s="10" t="n"/>
      <c r="B142" s="10" t="n"/>
      <c r="C142" s="10" t="n"/>
      <c r="D142" s="10" t="n"/>
      <c r="E142" s="10" t="n"/>
      <c r="F142" s="10" t="n"/>
      <c r="G142" s="10" t="n"/>
      <c r="H142" s="10" t="n"/>
    </row>
    <row r="143">
      <c r="A143" s="10" t="n"/>
      <c r="B143" s="10" t="n"/>
      <c r="C143" s="10" t="n"/>
      <c r="D143" s="10" t="n"/>
      <c r="E143" s="10" t="n"/>
      <c r="F143" s="10" t="n"/>
      <c r="G143" s="10" t="n"/>
      <c r="H143" s="10" t="n"/>
    </row>
    <row r="144">
      <c r="A144" s="10" t="n"/>
      <c r="B144" s="10" t="n"/>
      <c r="C144" s="10" t="n"/>
      <c r="D144" s="10" t="n"/>
      <c r="E144" s="10" t="n"/>
      <c r="F144" s="10" t="n"/>
      <c r="G144" s="10" t="n"/>
      <c r="H144" s="10" t="n"/>
    </row>
    <row r="145">
      <c r="A145" s="10" t="n"/>
      <c r="B145" s="10" t="n"/>
      <c r="C145" s="10" t="n"/>
      <c r="D145" s="10" t="n"/>
      <c r="E145" s="10" t="n"/>
      <c r="F145" s="10" t="n"/>
      <c r="G145" s="10" t="n"/>
      <c r="H145" s="10" t="n"/>
    </row>
    <row r="146">
      <c r="A146" s="10" t="n"/>
      <c r="B146" s="10" t="n"/>
      <c r="C146" s="10" t="n"/>
      <c r="D146" s="10" t="n"/>
      <c r="E146" s="10" t="n"/>
      <c r="F146" s="10" t="n"/>
      <c r="G146" s="10" t="n"/>
      <c r="H146" s="10" t="n"/>
    </row>
    <row r="147">
      <c r="A147" s="10" t="n"/>
      <c r="B147" s="10" t="n"/>
      <c r="C147" s="10" t="n"/>
      <c r="D147" s="10" t="n"/>
      <c r="E147" s="10" t="n"/>
      <c r="F147" s="10" t="n"/>
      <c r="G147" s="10" t="n"/>
      <c r="H147" s="10" t="n"/>
    </row>
    <row r="148">
      <c r="A148" s="10" t="n"/>
      <c r="B148" s="10" t="n"/>
      <c r="C148" s="10" t="n"/>
      <c r="D148" s="10" t="n"/>
      <c r="E148" s="10" t="n"/>
      <c r="F148" s="10" t="n"/>
      <c r="G148" s="10" t="n"/>
      <c r="H148" s="10" t="n"/>
    </row>
    <row r="149">
      <c r="A149" s="10" t="n"/>
      <c r="B149" s="10" t="n"/>
      <c r="C149" s="10" t="n"/>
      <c r="D149" s="10" t="n"/>
      <c r="E149" s="10" t="n"/>
      <c r="F149" s="10" t="n"/>
      <c r="G149" s="10" t="n"/>
      <c r="H149" s="10" t="n"/>
    </row>
    <row r="150">
      <c r="A150" s="10" t="n"/>
      <c r="B150" s="10" t="n"/>
      <c r="C150" s="10" t="n"/>
      <c r="D150" s="10" t="n"/>
      <c r="E150" s="10" t="n"/>
      <c r="F150" s="10" t="n"/>
      <c r="G150" s="10" t="n"/>
      <c r="H150" s="10" t="n"/>
    </row>
    <row r="151">
      <c r="A151" s="10" t="n"/>
      <c r="B151" s="10" t="n"/>
      <c r="C151" s="10" t="n"/>
      <c r="D151" s="10" t="n"/>
      <c r="E151" s="10" t="n"/>
      <c r="F151" s="10" t="n"/>
      <c r="G151" s="10" t="n"/>
      <c r="H151" s="10" t="n"/>
    </row>
  </sheetData>
  <autoFilter ref="A1:H151"/>
  <conditionalFormatting sqref="C2:C151">
    <cfRule type="cellIs" priority="1" operator="equal" dxfId="0">
      <formula>"Success"</formula>
    </cfRule>
    <cfRule type="cellIs" priority="2" operator="equal" dxfId="1">
      <formula>"Fail"</formula>
    </cfRule>
    <cfRule type="cellIs" priority="3" operator="equal" dxfId="2">
      <formula>"Partial"</formula>
    </cfRule>
  </conditionalFormatting>
  <dataValidations count="6">
    <dataValidation sqref="C2:C151" showDropDown="0" showInputMessage="0" showErrorMessage="0" allowBlank="1" type="list">
      <formula1>"Success,Partial,Fail"</formula1>
    </dataValidation>
    <dataValidation sqref="A102:A151" showDropDown="0" showInputMessage="0" showErrorMessage="0" allowBlank="1" type="list">
      <formula1>Participants!$A$2:$A$11</formula1>
    </dataValidation>
    <dataValidation sqref="B102:B151" showDropDown="0" showInputMessage="0" showErrorMessage="0" allowBlank="1" type="list">
      <formula1>"T1,T2,T3,T4,T5,T6,T7,T8,T9,T10"</formula1>
    </dataValidation>
    <dataValidation sqref="D2:D151" showDropDown="0" showInputMessage="0" showErrorMessage="0" allowBlank="1" type="decimal" operator="greaterThanOrEqual">
      <formula1>0</formula1>
    </dataValidation>
    <dataValidation sqref="E2:F151" showDropDown="0" showInputMessage="0" showErrorMessage="0" allowBlank="1" type="whole" operator="greaterThanOrEqual">
      <formula1>0</formula1>
    </dataValidation>
    <dataValidation sqref="G2:G151" showDropDown="0" showInputMessage="0" showErrorMessage="0" allowBlank="1" type="whole" operator="between">
      <formula1>1</formula1>
      <formula2>7</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14" customWidth="1" min="12" max="12"/>
    <col width="18" customWidth="1" min="13" max="13"/>
    <col width="22" customWidth="1" min="14" max="14"/>
  </cols>
  <sheetData>
    <row r="1" ht="32" customHeight="1">
      <c r="A1" s="5" t="inlineStr">
        <is>
          <t>Participant</t>
        </is>
      </c>
      <c r="B1" s="5" t="inlineStr">
        <is>
          <t>Q1</t>
        </is>
      </c>
      <c r="C1" s="5" t="inlineStr">
        <is>
          <t>Q2</t>
        </is>
      </c>
      <c r="D1" s="5" t="inlineStr">
        <is>
          <t>Q3</t>
        </is>
      </c>
      <c r="E1" s="5" t="inlineStr">
        <is>
          <t>Q4</t>
        </is>
      </c>
      <c r="F1" s="5" t="inlineStr">
        <is>
          <t>Q5</t>
        </is>
      </c>
      <c r="G1" s="5" t="inlineStr">
        <is>
          <t>Q6</t>
        </is>
      </c>
      <c r="H1" s="5" t="inlineStr">
        <is>
          <t>Q7</t>
        </is>
      </c>
      <c r="I1" s="5" t="inlineStr">
        <is>
          <t>Q8</t>
        </is>
      </c>
      <c r="J1" s="5" t="inlineStr">
        <is>
          <t>Q9</t>
        </is>
      </c>
      <c r="K1" s="5" t="inlineStr">
        <is>
          <t>Q10</t>
        </is>
      </c>
      <c r="L1" s="5" t="inlineStr">
        <is>
          <t>Contribution sum</t>
        </is>
      </c>
      <c r="M1" s="5" t="inlineStr">
        <is>
          <t>SUS score (0-100)</t>
        </is>
      </c>
      <c r="N1" s="5" t="inlineStr">
        <is>
          <t>Reading</t>
        </is>
      </c>
    </row>
    <row r="2">
      <c r="A2" s="6" t="inlineStr">
        <is>
          <t>U1</t>
        </is>
      </c>
      <c r="B2" s="7" t="n"/>
      <c r="C2" s="7" t="n"/>
      <c r="D2" s="7" t="n"/>
      <c r="E2" s="7" t="n"/>
      <c r="F2" s="7" t="n"/>
      <c r="G2" s="7" t="n"/>
      <c r="H2" s="7" t="n"/>
      <c r="I2" s="7" t="n"/>
      <c r="J2" s="7" t="n"/>
      <c r="K2" s="7" t="n"/>
      <c r="L2" s="9">
        <f>IF(COUNT(B2:K2)=10,(B2-1)+(D2-1)+(F2-1)+(H2-1)+(J2-1)+(5-C2)+(5-E2)+(5-G2)+(5-I2)+(5-K2),"")</f>
        <v/>
      </c>
      <c r="M2" s="13">
        <f>IF(L2="","",L2*2.5)</f>
        <v/>
      </c>
      <c r="N2" s="9">
        <f>IF(M2="","",IF(M2&gt;=80.3,"Excellent",IF(M2&gt;=68,"Good / above average",IF(M2&gt;=51,"Below average","Poor"))))</f>
        <v/>
      </c>
    </row>
    <row r="3">
      <c r="A3" s="6" t="inlineStr">
        <is>
          <t>U2</t>
        </is>
      </c>
      <c r="B3" s="7" t="n"/>
      <c r="C3" s="7" t="n"/>
      <c r="D3" s="7" t="n"/>
      <c r="E3" s="7" t="n"/>
      <c r="F3" s="7" t="n"/>
      <c r="G3" s="7" t="n"/>
      <c r="H3" s="7" t="n"/>
      <c r="I3" s="7" t="n"/>
      <c r="J3" s="7" t="n"/>
      <c r="K3" s="7" t="n"/>
      <c r="L3" s="9">
        <f>IF(COUNT(B3:K3)=10,(B3-1)+(D3-1)+(F3-1)+(H3-1)+(J3-1)+(5-C3)+(5-E3)+(5-G3)+(5-I3)+(5-K3),"")</f>
        <v/>
      </c>
      <c r="M3" s="13">
        <f>IF(L3="","",L3*2.5)</f>
        <v/>
      </c>
      <c r="N3" s="9">
        <f>IF(M3="","",IF(M3&gt;=80.3,"Excellent",IF(M3&gt;=68,"Good / above average",IF(M3&gt;=51,"Below average","Poor"))))</f>
        <v/>
      </c>
    </row>
    <row r="4">
      <c r="A4" s="6" t="inlineStr">
        <is>
          <t>U3</t>
        </is>
      </c>
      <c r="B4" s="7" t="n"/>
      <c r="C4" s="7" t="n"/>
      <c r="D4" s="7" t="n"/>
      <c r="E4" s="7" t="n"/>
      <c r="F4" s="7" t="n"/>
      <c r="G4" s="7" t="n"/>
      <c r="H4" s="7" t="n"/>
      <c r="I4" s="7" t="n"/>
      <c r="J4" s="7" t="n"/>
      <c r="K4" s="7" t="n"/>
      <c r="L4" s="9">
        <f>IF(COUNT(B4:K4)=10,(B4-1)+(D4-1)+(F4-1)+(H4-1)+(J4-1)+(5-C4)+(5-E4)+(5-G4)+(5-I4)+(5-K4),"")</f>
        <v/>
      </c>
      <c r="M4" s="13">
        <f>IF(L4="","",L4*2.5)</f>
        <v/>
      </c>
      <c r="N4" s="9">
        <f>IF(M4="","",IF(M4&gt;=80.3,"Excellent",IF(M4&gt;=68,"Good / above average",IF(M4&gt;=51,"Below average","Poor"))))</f>
        <v/>
      </c>
    </row>
    <row r="5">
      <c r="A5" s="6" t="inlineStr">
        <is>
          <t>U4</t>
        </is>
      </c>
      <c r="B5" s="7" t="n"/>
      <c r="C5" s="7" t="n"/>
      <c r="D5" s="7" t="n"/>
      <c r="E5" s="7" t="n"/>
      <c r="F5" s="7" t="n"/>
      <c r="G5" s="7" t="n"/>
      <c r="H5" s="7" t="n"/>
      <c r="I5" s="7" t="n"/>
      <c r="J5" s="7" t="n"/>
      <c r="K5" s="7" t="n"/>
      <c r="L5" s="9">
        <f>IF(COUNT(B5:K5)=10,(B5-1)+(D5-1)+(F5-1)+(H5-1)+(J5-1)+(5-C5)+(5-E5)+(5-G5)+(5-I5)+(5-K5),"")</f>
        <v/>
      </c>
      <c r="M5" s="13">
        <f>IF(L5="","",L5*2.5)</f>
        <v/>
      </c>
      <c r="N5" s="9">
        <f>IF(M5="","",IF(M5&gt;=80.3,"Excellent",IF(M5&gt;=68,"Good / above average",IF(M5&gt;=51,"Below average","Poor"))))</f>
        <v/>
      </c>
    </row>
    <row r="6">
      <c r="A6" s="6" t="inlineStr">
        <is>
          <t>U5</t>
        </is>
      </c>
      <c r="B6" s="7" t="n"/>
      <c r="C6" s="7" t="n"/>
      <c r="D6" s="7" t="n"/>
      <c r="E6" s="7" t="n"/>
      <c r="F6" s="7" t="n"/>
      <c r="G6" s="7" t="n"/>
      <c r="H6" s="7" t="n"/>
      <c r="I6" s="7" t="n"/>
      <c r="J6" s="7" t="n"/>
      <c r="K6" s="7" t="n"/>
      <c r="L6" s="9">
        <f>IF(COUNT(B6:K6)=10,(B6-1)+(D6-1)+(F6-1)+(H6-1)+(J6-1)+(5-C6)+(5-E6)+(5-G6)+(5-I6)+(5-K6),"")</f>
        <v/>
      </c>
      <c r="M6" s="13">
        <f>IF(L6="","",L6*2.5)</f>
        <v/>
      </c>
      <c r="N6" s="9">
        <f>IF(M6="","",IF(M6&gt;=80.3,"Excellent",IF(M6&gt;=68,"Good / above average",IF(M6&gt;=51,"Below average","Poor"))))</f>
        <v/>
      </c>
    </row>
    <row r="7">
      <c r="A7" s="6" t="inlineStr">
        <is>
          <t>U6</t>
        </is>
      </c>
      <c r="B7" s="7" t="n"/>
      <c r="C7" s="7" t="n"/>
      <c r="D7" s="7" t="n"/>
      <c r="E7" s="7" t="n"/>
      <c r="F7" s="7" t="n"/>
      <c r="G7" s="7" t="n"/>
      <c r="H7" s="7" t="n"/>
      <c r="I7" s="7" t="n"/>
      <c r="J7" s="7" t="n"/>
      <c r="K7" s="7" t="n"/>
      <c r="L7" s="9">
        <f>IF(COUNT(B7:K7)=10,(B7-1)+(D7-1)+(F7-1)+(H7-1)+(J7-1)+(5-C7)+(5-E7)+(5-G7)+(5-I7)+(5-K7),"")</f>
        <v/>
      </c>
      <c r="M7" s="13">
        <f>IF(L7="","",L7*2.5)</f>
        <v/>
      </c>
      <c r="N7" s="9">
        <f>IF(M7="","",IF(M7&gt;=80.3,"Excellent",IF(M7&gt;=68,"Good / above average",IF(M7&gt;=51,"Below average","Poor"))))</f>
        <v/>
      </c>
    </row>
    <row r="8">
      <c r="A8" s="6" t="inlineStr">
        <is>
          <t>U7</t>
        </is>
      </c>
      <c r="B8" s="7" t="n"/>
      <c r="C8" s="7" t="n"/>
      <c r="D8" s="7" t="n"/>
      <c r="E8" s="7" t="n"/>
      <c r="F8" s="7" t="n"/>
      <c r="G8" s="7" t="n"/>
      <c r="H8" s="7" t="n"/>
      <c r="I8" s="7" t="n"/>
      <c r="J8" s="7" t="n"/>
      <c r="K8" s="7" t="n"/>
      <c r="L8" s="9">
        <f>IF(COUNT(B8:K8)=10,(B8-1)+(D8-1)+(F8-1)+(H8-1)+(J8-1)+(5-C8)+(5-E8)+(5-G8)+(5-I8)+(5-K8),"")</f>
        <v/>
      </c>
      <c r="M8" s="13">
        <f>IF(L8="","",L8*2.5)</f>
        <v/>
      </c>
      <c r="N8" s="9">
        <f>IF(M8="","",IF(M8&gt;=80.3,"Excellent",IF(M8&gt;=68,"Good / above average",IF(M8&gt;=51,"Below average","Poor"))))</f>
        <v/>
      </c>
    </row>
    <row r="9">
      <c r="A9" s="6" t="inlineStr">
        <is>
          <t>U8</t>
        </is>
      </c>
      <c r="B9" s="7" t="n"/>
      <c r="C9" s="7" t="n"/>
      <c r="D9" s="7" t="n"/>
      <c r="E9" s="7" t="n"/>
      <c r="F9" s="7" t="n"/>
      <c r="G9" s="7" t="n"/>
      <c r="H9" s="7" t="n"/>
      <c r="I9" s="7" t="n"/>
      <c r="J9" s="7" t="n"/>
      <c r="K9" s="7" t="n"/>
      <c r="L9" s="9">
        <f>IF(COUNT(B9:K9)=10,(B9-1)+(D9-1)+(F9-1)+(H9-1)+(J9-1)+(5-C9)+(5-E9)+(5-G9)+(5-I9)+(5-K9),"")</f>
        <v/>
      </c>
      <c r="M9" s="13">
        <f>IF(L9="","",L9*2.5)</f>
        <v/>
      </c>
      <c r="N9" s="9">
        <f>IF(M9="","",IF(M9&gt;=80.3,"Excellent",IF(M9&gt;=68,"Good / above average",IF(M9&gt;=51,"Below average","Poor"))))</f>
        <v/>
      </c>
    </row>
    <row r="10">
      <c r="A10" s="6" t="inlineStr">
        <is>
          <t>U9</t>
        </is>
      </c>
      <c r="B10" s="7" t="n"/>
      <c r="C10" s="7" t="n"/>
      <c r="D10" s="7" t="n"/>
      <c r="E10" s="7" t="n"/>
      <c r="F10" s="7" t="n"/>
      <c r="G10" s="7" t="n"/>
      <c r="H10" s="7" t="n"/>
      <c r="I10" s="7" t="n"/>
      <c r="J10" s="7" t="n"/>
      <c r="K10" s="7" t="n"/>
      <c r="L10" s="9">
        <f>IF(COUNT(B10:K10)=10,(B10-1)+(D10-1)+(F10-1)+(H10-1)+(J10-1)+(5-C10)+(5-E10)+(5-G10)+(5-I10)+(5-K10),"")</f>
        <v/>
      </c>
      <c r="M10" s="13">
        <f>IF(L10="","",L10*2.5)</f>
        <v/>
      </c>
      <c r="N10" s="9">
        <f>IF(M10="","",IF(M10&gt;=80.3,"Excellent",IF(M10&gt;=68,"Good / above average",IF(M10&gt;=51,"Below average","Poor"))))</f>
        <v/>
      </c>
    </row>
    <row r="11">
      <c r="A11" s="6" t="inlineStr">
        <is>
          <t>U10</t>
        </is>
      </c>
      <c r="B11" s="7" t="n"/>
      <c r="C11" s="7" t="n"/>
      <c r="D11" s="7" t="n"/>
      <c r="E11" s="7" t="n"/>
      <c r="F11" s="7" t="n"/>
      <c r="G11" s="7" t="n"/>
      <c r="H11" s="7" t="n"/>
      <c r="I11" s="7" t="n"/>
      <c r="J11" s="7" t="n"/>
      <c r="K11" s="7" t="n"/>
      <c r="L11" s="9">
        <f>IF(COUNT(B11:K11)=10,(B11-1)+(D11-1)+(F11-1)+(H11-1)+(J11-1)+(5-C11)+(5-E11)+(5-G11)+(5-I11)+(5-K11),"")</f>
        <v/>
      </c>
      <c r="M11" s="13">
        <f>IF(L11="","",L11*2.5)</f>
        <v/>
      </c>
      <c r="N11" s="9">
        <f>IF(M11="","",IF(M11&gt;=80.3,"Excellent",IF(M11&gt;=68,"Good / above average",IF(M11&gt;=51,"Below average","Poor"))))</f>
        <v/>
      </c>
    </row>
    <row r="13">
      <c r="A13" s="14" t="inlineStr">
        <is>
          <t>Mean</t>
        </is>
      </c>
      <c r="M13" s="15">
        <f>IFERROR(AVERAGE(M2:M11),"")</f>
        <v/>
      </c>
    </row>
    <row r="15">
      <c r="A15" s="14" t="inlineStr">
        <is>
          <t>Answers: 1 = strongly disagree … 5 = strongly agree. The ten statements (System Usability Scale, Brooke 1996):</t>
        </is>
      </c>
    </row>
    <row r="16">
      <c r="A16" s="14" t="inlineStr">
        <is>
          <t>Q1</t>
        </is>
      </c>
      <c r="B16" s="11" t="inlineStr">
        <is>
          <t>I think that I would like to use this app frequently.</t>
        </is>
      </c>
    </row>
    <row r="17">
      <c r="A17" s="14" t="inlineStr">
        <is>
          <t>Q2</t>
        </is>
      </c>
      <c r="B17" s="11" t="inlineStr">
        <is>
          <t>I found the app unnecessarily complex.</t>
        </is>
      </c>
    </row>
    <row r="18">
      <c r="A18" s="14" t="inlineStr">
        <is>
          <t>Q3</t>
        </is>
      </c>
      <c r="B18" s="11" t="inlineStr">
        <is>
          <t>I thought the app was easy to use.</t>
        </is>
      </c>
    </row>
    <row r="19">
      <c r="A19" s="14" t="inlineStr">
        <is>
          <t>Q4</t>
        </is>
      </c>
      <c r="B19" s="11" t="inlineStr">
        <is>
          <t>I think that I would need the support of a technical person to be able to use this app.</t>
        </is>
      </c>
    </row>
    <row r="20">
      <c r="A20" s="14" t="inlineStr">
        <is>
          <t>Q5</t>
        </is>
      </c>
      <c r="B20" s="11" t="inlineStr">
        <is>
          <t>I found the various functions in this app were well integrated.</t>
        </is>
      </c>
    </row>
    <row r="21">
      <c r="A21" s="14" t="inlineStr">
        <is>
          <t>Q6</t>
        </is>
      </c>
      <c r="B21" s="11" t="inlineStr">
        <is>
          <t>I thought there was too much inconsistency in this app.</t>
        </is>
      </c>
    </row>
    <row r="22">
      <c r="A22" s="14" t="inlineStr">
        <is>
          <t>Q7</t>
        </is>
      </c>
      <c r="B22" s="11" t="inlineStr">
        <is>
          <t>I would imagine that most people would learn to use this app very quickly.</t>
        </is>
      </c>
    </row>
    <row r="23">
      <c r="A23" s="14" t="inlineStr">
        <is>
          <t>Q8</t>
        </is>
      </c>
      <c r="B23" s="11" t="inlineStr">
        <is>
          <t>I found the app very cumbersome to use.</t>
        </is>
      </c>
    </row>
    <row r="24">
      <c r="A24" s="14" t="inlineStr">
        <is>
          <t>Q9</t>
        </is>
      </c>
      <c r="B24" s="11" t="inlineStr">
        <is>
          <t>I felt very confident using the app.</t>
        </is>
      </c>
    </row>
    <row r="25">
      <c r="A25" s="14" t="inlineStr">
        <is>
          <t>Q10</t>
        </is>
      </c>
      <c r="B25" s="11" t="inlineStr">
        <is>
          <t>I needed to learn a lot of things before I could get going with this app.</t>
        </is>
      </c>
    </row>
    <row r="27">
      <c r="A27" s="11" t="inlineStr">
        <is>
          <t>Scoring: odd items answer minus 1; even items 5 minus answer; add the ten contributions and multiply by 2.5 (range 0 to 100). A score is shown only when all 10 answers are filled in. Average SUS is about 68 (Sauro &amp; Lewis, 2016).</t>
        </is>
      </c>
    </row>
  </sheetData>
  <dataValidations count="1">
    <dataValidation sqref="B2:K11" showDropDown="0" showInputMessage="0" showErrorMessage="0" allowBlank="1" type="whole" operator="between">
      <formula1>1</formula1>
      <formula2>5</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24" customWidth="1" min="3" max="3"/>
    <col width="58" customWidth="1" min="4" max="4"/>
    <col width="11" customWidth="1" min="5" max="5"/>
    <col width="16" customWidth="1" min="6" max="6"/>
    <col width="16" customWidth="1" min="7" max="7"/>
    <col width="14" customWidth="1" min="8" max="8"/>
    <col width="11" customWidth="1" min="9" max="9"/>
    <col width="11" customWidth="1" min="10" max="10"/>
    <col width="40" customWidth="1" min="11" max="11"/>
  </cols>
  <sheetData>
    <row r="1" ht="42" customHeight="1">
      <c r="A1" s="5" t="inlineStr">
        <is>
          <t>ID</t>
        </is>
      </c>
      <c r="B1" s="5" t="inlineStr">
        <is>
          <t>Task</t>
        </is>
      </c>
      <c r="C1" s="5" t="inlineStr">
        <is>
          <t>Interface (screen)</t>
        </is>
      </c>
      <c r="D1" s="5" t="inlineStr">
        <is>
          <t>Issue: what happened</t>
        </is>
      </c>
      <c r="E1" s="5" t="inlineStr">
        <is>
          <t>Severity</t>
        </is>
      </c>
      <c r="F1" s="5" t="inlineStr">
        <is>
          <t>Participants affected (number)</t>
        </is>
      </c>
      <c r="G1" s="5" t="inlineStr">
        <is>
          <t>Participant codes</t>
        </is>
      </c>
      <c r="H1" s="5" t="inlineStr">
        <is>
          <t>Requirement</t>
        </is>
      </c>
      <c r="I1" s="5" t="inlineStr">
        <is>
          <t>Status</t>
        </is>
      </c>
      <c r="J1" s="5" t="inlineStr">
        <is>
          <t>Found in</t>
        </is>
      </c>
      <c r="K1" s="5" t="inlineStr">
        <is>
          <t>Notes</t>
        </is>
      </c>
    </row>
    <row r="2">
      <c r="A2" s="6" t="inlineStr">
        <is>
          <t>UT-01</t>
        </is>
      </c>
      <c r="B2" s="10" t="n"/>
      <c r="C2" s="10" t="n"/>
      <c r="D2" s="10" t="n"/>
      <c r="E2" s="10" t="n"/>
      <c r="F2" s="10" t="n"/>
      <c r="G2" s="10" t="n"/>
      <c r="H2" s="10" t="n"/>
      <c r="I2" s="10" t="n"/>
      <c r="J2" s="10" t="n"/>
      <c r="K2" s="10" t="n"/>
    </row>
    <row r="3">
      <c r="A3" s="6" t="inlineStr">
        <is>
          <t>UT-02</t>
        </is>
      </c>
      <c r="B3" s="10" t="n"/>
      <c r="C3" s="10" t="n"/>
      <c r="D3" s="10" t="n"/>
      <c r="E3" s="10" t="n"/>
      <c r="F3" s="10" t="n"/>
      <c r="G3" s="10" t="n"/>
      <c r="H3" s="10" t="n"/>
      <c r="I3" s="10" t="n"/>
      <c r="J3" s="10" t="n"/>
      <c r="K3" s="10" t="n"/>
    </row>
    <row r="4">
      <c r="A4" s="6" t="inlineStr">
        <is>
          <t>UT-03</t>
        </is>
      </c>
      <c r="B4" s="10" t="n"/>
      <c r="C4" s="10" t="n"/>
      <c r="D4" s="10" t="n"/>
      <c r="E4" s="10" t="n"/>
      <c r="F4" s="10" t="n"/>
      <c r="G4" s="10" t="n"/>
      <c r="H4" s="10" t="n"/>
      <c r="I4" s="10" t="n"/>
      <c r="J4" s="10" t="n"/>
      <c r="K4" s="10" t="n"/>
    </row>
    <row r="5">
      <c r="A5" s="6" t="inlineStr">
        <is>
          <t>UT-04</t>
        </is>
      </c>
      <c r="B5" s="10" t="n"/>
      <c r="C5" s="10" t="n"/>
      <c r="D5" s="10" t="n"/>
      <c r="E5" s="10" t="n"/>
      <c r="F5" s="10" t="n"/>
      <c r="G5" s="10" t="n"/>
      <c r="H5" s="10" t="n"/>
      <c r="I5" s="10" t="n"/>
      <c r="J5" s="10" t="n"/>
      <c r="K5" s="10" t="n"/>
    </row>
    <row r="6">
      <c r="A6" s="6" t="inlineStr">
        <is>
          <t>UT-05</t>
        </is>
      </c>
      <c r="B6" s="10" t="n"/>
      <c r="C6" s="10" t="n"/>
      <c r="D6" s="10" t="n"/>
      <c r="E6" s="10" t="n"/>
      <c r="F6" s="10" t="n"/>
      <c r="G6" s="10" t="n"/>
      <c r="H6" s="10" t="n"/>
      <c r="I6" s="10" t="n"/>
      <c r="J6" s="10" t="n"/>
      <c r="K6" s="10" t="n"/>
    </row>
    <row r="7">
      <c r="A7" s="6" t="inlineStr">
        <is>
          <t>UT-06</t>
        </is>
      </c>
      <c r="B7" s="10" t="n"/>
      <c r="C7" s="10" t="n"/>
      <c r="D7" s="10" t="n"/>
      <c r="E7" s="10" t="n"/>
      <c r="F7" s="10" t="n"/>
      <c r="G7" s="10" t="n"/>
      <c r="H7" s="10" t="n"/>
      <c r="I7" s="10" t="n"/>
      <c r="J7" s="10" t="n"/>
      <c r="K7" s="10" t="n"/>
    </row>
    <row r="8">
      <c r="A8" s="6" t="inlineStr">
        <is>
          <t>UT-07</t>
        </is>
      </c>
      <c r="B8" s="10" t="n"/>
      <c r="C8" s="10" t="n"/>
      <c r="D8" s="10" t="n"/>
      <c r="E8" s="10" t="n"/>
      <c r="F8" s="10" t="n"/>
      <c r="G8" s="10" t="n"/>
      <c r="H8" s="10" t="n"/>
      <c r="I8" s="10" t="n"/>
      <c r="J8" s="10" t="n"/>
      <c r="K8" s="10" t="n"/>
    </row>
    <row r="9">
      <c r="A9" s="6" t="inlineStr">
        <is>
          <t>UT-08</t>
        </is>
      </c>
      <c r="B9" s="10" t="n"/>
      <c r="C9" s="10" t="n"/>
      <c r="D9" s="10" t="n"/>
      <c r="E9" s="10" t="n"/>
      <c r="F9" s="10" t="n"/>
      <c r="G9" s="10" t="n"/>
      <c r="H9" s="10" t="n"/>
      <c r="I9" s="10" t="n"/>
      <c r="J9" s="10" t="n"/>
      <c r="K9" s="10" t="n"/>
    </row>
    <row r="10">
      <c r="A10" s="6" t="inlineStr">
        <is>
          <t>UT-09</t>
        </is>
      </c>
      <c r="B10" s="10" t="n"/>
      <c r="C10" s="10" t="n"/>
      <c r="D10" s="10" t="n"/>
      <c r="E10" s="10" t="n"/>
      <c r="F10" s="10" t="n"/>
      <c r="G10" s="10" t="n"/>
      <c r="H10" s="10" t="n"/>
      <c r="I10" s="10" t="n"/>
      <c r="J10" s="10" t="n"/>
      <c r="K10" s="10" t="n"/>
    </row>
    <row r="11">
      <c r="A11" s="6" t="inlineStr">
        <is>
          <t>UT-10</t>
        </is>
      </c>
      <c r="B11" s="10" t="n"/>
      <c r="C11" s="10" t="n"/>
      <c r="D11" s="10" t="n"/>
      <c r="E11" s="10" t="n"/>
      <c r="F11" s="10" t="n"/>
      <c r="G11" s="10" t="n"/>
      <c r="H11" s="10" t="n"/>
      <c r="I11" s="10" t="n"/>
      <c r="J11" s="10" t="n"/>
      <c r="K11" s="10" t="n"/>
    </row>
    <row r="12">
      <c r="A12" s="6" t="inlineStr">
        <is>
          <t>UT-11</t>
        </is>
      </c>
      <c r="B12" s="10" t="n"/>
      <c r="C12" s="10" t="n"/>
      <c r="D12" s="10" t="n"/>
      <c r="E12" s="10" t="n"/>
      <c r="F12" s="10" t="n"/>
      <c r="G12" s="10" t="n"/>
      <c r="H12" s="10" t="n"/>
      <c r="I12" s="10" t="n"/>
      <c r="J12" s="10" t="n"/>
      <c r="K12" s="10" t="n"/>
    </row>
    <row r="13">
      <c r="A13" s="6" t="inlineStr">
        <is>
          <t>UT-12</t>
        </is>
      </c>
      <c r="B13" s="10" t="n"/>
      <c r="C13" s="10" t="n"/>
      <c r="D13" s="10" t="n"/>
      <c r="E13" s="10" t="n"/>
      <c r="F13" s="10" t="n"/>
      <c r="G13" s="10" t="n"/>
      <c r="H13" s="10" t="n"/>
      <c r="I13" s="10" t="n"/>
      <c r="J13" s="10" t="n"/>
      <c r="K13" s="10" t="n"/>
    </row>
    <row r="14">
      <c r="A14" s="6" t="inlineStr">
        <is>
          <t>UT-13</t>
        </is>
      </c>
      <c r="B14" s="10" t="n"/>
      <c r="C14" s="10" t="n"/>
      <c r="D14" s="10" t="n"/>
      <c r="E14" s="10" t="n"/>
      <c r="F14" s="10" t="n"/>
      <c r="G14" s="10" t="n"/>
      <c r="H14" s="10" t="n"/>
      <c r="I14" s="10" t="n"/>
      <c r="J14" s="10" t="n"/>
      <c r="K14" s="10" t="n"/>
    </row>
    <row r="15">
      <c r="A15" s="6" t="inlineStr">
        <is>
          <t>UT-14</t>
        </is>
      </c>
      <c r="B15" s="10" t="n"/>
      <c r="C15" s="10" t="n"/>
      <c r="D15" s="10" t="n"/>
      <c r="E15" s="10" t="n"/>
      <c r="F15" s="10" t="n"/>
      <c r="G15" s="10" t="n"/>
      <c r="H15" s="10" t="n"/>
      <c r="I15" s="10" t="n"/>
      <c r="J15" s="10" t="n"/>
      <c r="K15" s="10" t="n"/>
    </row>
    <row r="16">
      <c r="A16" s="6" t="inlineStr">
        <is>
          <t>UT-15</t>
        </is>
      </c>
      <c r="B16" s="10" t="n"/>
      <c r="C16" s="10" t="n"/>
      <c r="D16" s="10" t="n"/>
      <c r="E16" s="10" t="n"/>
      <c r="F16" s="10" t="n"/>
      <c r="G16" s="10" t="n"/>
      <c r="H16" s="10" t="n"/>
      <c r="I16" s="10" t="n"/>
      <c r="J16" s="10" t="n"/>
      <c r="K16" s="10" t="n"/>
    </row>
    <row r="17">
      <c r="A17" s="6" t="inlineStr">
        <is>
          <t>UT-16</t>
        </is>
      </c>
      <c r="B17" s="10" t="n"/>
      <c r="C17" s="10" t="n"/>
      <c r="D17" s="10" t="n"/>
      <c r="E17" s="10" t="n"/>
      <c r="F17" s="10" t="n"/>
      <c r="G17" s="10" t="n"/>
      <c r="H17" s="10" t="n"/>
      <c r="I17" s="10" t="n"/>
      <c r="J17" s="10" t="n"/>
      <c r="K17" s="10" t="n"/>
    </row>
    <row r="18">
      <c r="A18" s="6" t="inlineStr">
        <is>
          <t>UT-17</t>
        </is>
      </c>
      <c r="B18" s="10" t="n"/>
      <c r="C18" s="10" t="n"/>
      <c r="D18" s="10" t="n"/>
      <c r="E18" s="10" t="n"/>
      <c r="F18" s="10" t="n"/>
      <c r="G18" s="10" t="n"/>
      <c r="H18" s="10" t="n"/>
      <c r="I18" s="10" t="n"/>
      <c r="J18" s="10" t="n"/>
      <c r="K18" s="10" t="n"/>
    </row>
    <row r="19">
      <c r="A19" s="6" t="inlineStr">
        <is>
          <t>UT-18</t>
        </is>
      </c>
      <c r="B19" s="10" t="n"/>
      <c r="C19" s="10" t="n"/>
      <c r="D19" s="10" t="n"/>
      <c r="E19" s="10" t="n"/>
      <c r="F19" s="10" t="n"/>
      <c r="G19" s="10" t="n"/>
      <c r="H19" s="10" t="n"/>
      <c r="I19" s="10" t="n"/>
      <c r="J19" s="10" t="n"/>
      <c r="K19" s="10" t="n"/>
    </row>
    <row r="20">
      <c r="A20" s="6" t="inlineStr">
        <is>
          <t>UT-19</t>
        </is>
      </c>
      <c r="B20" s="10" t="n"/>
      <c r="C20" s="10" t="n"/>
      <c r="D20" s="10" t="n"/>
      <c r="E20" s="10" t="n"/>
      <c r="F20" s="10" t="n"/>
      <c r="G20" s="10" t="n"/>
      <c r="H20" s="10" t="n"/>
      <c r="I20" s="10" t="n"/>
      <c r="J20" s="10" t="n"/>
      <c r="K20" s="10" t="n"/>
    </row>
    <row r="21">
      <c r="A21" s="6" t="inlineStr">
        <is>
          <t>UT-20</t>
        </is>
      </c>
      <c r="B21" s="10" t="n"/>
      <c r="C21" s="10" t="n"/>
      <c r="D21" s="10" t="n"/>
      <c r="E21" s="10" t="n"/>
      <c r="F21" s="10" t="n"/>
      <c r="G21" s="10" t="n"/>
      <c r="H21" s="10" t="n"/>
      <c r="I21" s="10" t="n"/>
      <c r="J21" s="10" t="n"/>
      <c r="K21" s="10" t="n"/>
    </row>
    <row r="22">
      <c r="A22" s="6" t="inlineStr">
        <is>
          <t>UT-21</t>
        </is>
      </c>
      <c r="B22" s="10" t="n"/>
      <c r="C22" s="10" t="n"/>
      <c r="D22" s="10" t="n"/>
      <c r="E22" s="10" t="n"/>
      <c r="F22" s="10" t="n"/>
      <c r="G22" s="10" t="n"/>
      <c r="H22" s="10" t="n"/>
      <c r="I22" s="10" t="n"/>
      <c r="J22" s="10" t="n"/>
      <c r="K22" s="10" t="n"/>
    </row>
    <row r="23">
      <c r="A23" s="6" t="inlineStr">
        <is>
          <t>UT-22</t>
        </is>
      </c>
      <c r="B23" s="10" t="n"/>
      <c r="C23" s="10" t="n"/>
      <c r="D23" s="10" t="n"/>
      <c r="E23" s="10" t="n"/>
      <c r="F23" s="10" t="n"/>
      <c r="G23" s="10" t="n"/>
      <c r="H23" s="10" t="n"/>
      <c r="I23" s="10" t="n"/>
      <c r="J23" s="10" t="n"/>
      <c r="K23" s="10" t="n"/>
    </row>
    <row r="24">
      <c r="A24" s="6" t="inlineStr">
        <is>
          <t>UT-23</t>
        </is>
      </c>
      <c r="B24" s="10" t="n"/>
      <c r="C24" s="10" t="n"/>
      <c r="D24" s="10" t="n"/>
      <c r="E24" s="10" t="n"/>
      <c r="F24" s="10" t="n"/>
      <c r="G24" s="10" t="n"/>
      <c r="H24" s="10" t="n"/>
      <c r="I24" s="10" t="n"/>
      <c r="J24" s="10" t="n"/>
      <c r="K24" s="10" t="n"/>
    </row>
    <row r="25">
      <c r="A25" s="6" t="inlineStr">
        <is>
          <t>UT-24</t>
        </is>
      </c>
      <c r="B25" s="10" t="n"/>
      <c r="C25" s="10" t="n"/>
      <c r="D25" s="10" t="n"/>
      <c r="E25" s="10" t="n"/>
      <c r="F25" s="10" t="n"/>
      <c r="G25" s="10" t="n"/>
      <c r="H25" s="10" t="n"/>
      <c r="I25" s="10" t="n"/>
      <c r="J25" s="10" t="n"/>
      <c r="K25" s="10" t="n"/>
    </row>
    <row r="26">
      <c r="A26" s="6" t="inlineStr">
        <is>
          <t>UT-25</t>
        </is>
      </c>
      <c r="B26" s="10" t="n"/>
      <c r="C26" s="10" t="n"/>
      <c r="D26" s="10" t="n"/>
      <c r="E26" s="10" t="n"/>
      <c r="F26" s="10" t="n"/>
      <c r="G26" s="10" t="n"/>
      <c r="H26" s="10" t="n"/>
      <c r="I26" s="10" t="n"/>
      <c r="J26" s="10" t="n"/>
      <c r="K26" s="10" t="n"/>
    </row>
    <row r="27">
      <c r="A27" s="6" t="inlineStr">
        <is>
          <t>UT-26</t>
        </is>
      </c>
      <c r="B27" s="10" t="n"/>
      <c r="C27" s="10" t="n"/>
      <c r="D27" s="10" t="n"/>
      <c r="E27" s="10" t="n"/>
      <c r="F27" s="10" t="n"/>
      <c r="G27" s="10" t="n"/>
      <c r="H27" s="10" t="n"/>
      <c r="I27" s="10" t="n"/>
      <c r="J27" s="10" t="n"/>
      <c r="K27" s="10" t="n"/>
    </row>
    <row r="28">
      <c r="A28" s="6" t="inlineStr">
        <is>
          <t>UT-27</t>
        </is>
      </c>
      <c r="B28" s="10" t="n"/>
      <c r="C28" s="10" t="n"/>
      <c r="D28" s="10" t="n"/>
      <c r="E28" s="10" t="n"/>
      <c r="F28" s="10" t="n"/>
      <c r="G28" s="10" t="n"/>
      <c r="H28" s="10" t="n"/>
      <c r="I28" s="10" t="n"/>
      <c r="J28" s="10" t="n"/>
      <c r="K28" s="10" t="n"/>
    </row>
    <row r="29">
      <c r="A29" s="6" t="inlineStr">
        <is>
          <t>UT-28</t>
        </is>
      </c>
      <c r="B29" s="10" t="n"/>
      <c r="C29" s="10" t="n"/>
      <c r="D29" s="10" t="n"/>
      <c r="E29" s="10" t="n"/>
      <c r="F29" s="10" t="n"/>
      <c r="G29" s="10" t="n"/>
      <c r="H29" s="10" t="n"/>
      <c r="I29" s="10" t="n"/>
      <c r="J29" s="10" t="n"/>
      <c r="K29" s="10" t="n"/>
    </row>
    <row r="30">
      <c r="A30" s="6" t="inlineStr">
        <is>
          <t>UT-29</t>
        </is>
      </c>
      <c r="B30" s="10" t="n"/>
      <c r="C30" s="10" t="n"/>
      <c r="D30" s="10" t="n"/>
      <c r="E30" s="10" t="n"/>
      <c r="F30" s="10" t="n"/>
      <c r="G30" s="10" t="n"/>
      <c r="H30" s="10" t="n"/>
      <c r="I30" s="10" t="n"/>
      <c r="J30" s="10" t="n"/>
      <c r="K30" s="10" t="n"/>
    </row>
    <row r="31">
      <c r="A31" s="6" t="inlineStr">
        <is>
          <t>UT-30</t>
        </is>
      </c>
      <c r="B31" s="10" t="n"/>
      <c r="C31" s="10" t="n"/>
      <c r="D31" s="10" t="n"/>
      <c r="E31" s="10" t="n"/>
      <c r="F31" s="10" t="n"/>
      <c r="G31" s="10" t="n"/>
      <c r="H31" s="10" t="n"/>
      <c r="I31" s="10" t="n"/>
      <c r="J31" s="10" t="n"/>
      <c r="K31" s="10" t="n"/>
    </row>
  </sheetData>
  <conditionalFormatting sqref="E2:E31">
    <cfRule type="cellIs" priority="1" operator="equal" dxfId="1">
      <formula>"High"</formula>
    </cfRule>
    <cfRule type="cellIs" priority="2" operator="equal" dxfId="2">
      <formula>"Medium"</formula>
    </cfRule>
    <cfRule type="cellIs" priority="3" operator="equal" dxfId="3">
      <formula>"Low"</formula>
    </cfRule>
  </conditionalFormatting>
  <dataValidations count="5">
    <dataValidation sqref="B2:B31" showDropDown="0" showInputMessage="0" showErrorMessage="1" allowBlank="1" type="list">
      <formula1>"T1,T2,T3,T4,T5,T6,T7,T8,T9,T10"</formula1>
    </dataValidation>
    <dataValidation sqref="E2:E31" showDropDown="0" showInputMessage="0" showErrorMessage="1" allowBlank="1" type="list">
      <formula1>"High,Medium,Low"</formula1>
    </dataValidation>
    <dataValidation sqref="I2:I31" showDropDown="0" showInputMessage="0" showErrorMessage="1" allowBlank="1" type="list">
      <formula1>"Open,Fixed,Won't fix"</formula1>
    </dataValidation>
    <dataValidation sqref="J2:J31" showDropDown="0" showInputMessage="0" showErrorMessage="1" allowBlank="1" type="list">
      <formula1>"Round 1,Retest"</formula1>
    </dataValidation>
    <dataValidation sqref="C2:C31" showDropDown="0" showInputMessage="0" showErrorMessage="0" allowBlank="1" type="list">
      <formula1>Lists!$A$2:$A$21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 customWidth="1" min="3" max="3"/>
    <col width="56" customWidth="1" min="4" max="4"/>
    <col width="13" customWidth="1" min="5" max="5"/>
    <col width="34" customWidth="1" min="6" max="6"/>
    <col width="40" customWidth="1" min="7" max="7"/>
  </cols>
  <sheetData>
    <row r="1" ht="32" customHeight="1">
      <c r="A1" s="5" t="inlineStr">
        <is>
          <t>Issue ID</t>
        </is>
      </c>
      <c r="B1" s="5" t="inlineStr">
        <is>
          <t>Found in</t>
        </is>
      </c>
      <c r="C1" s="5" t="inlineStr">
        <is>
          <t>Severity</t>
        </is>
      </c>
      <c r="D1" s="5" t="inlineStr">
        <is>
          <t>Fix made (what changed in the app)</t>
        </is>
      </c>
      <c r="E1" s="5" t="inlineStr">
        <is>
          <t>Date fixed</t>
        </is>
      </c>
      <c r="F1" s="5" t="inlineStr">
        <is>
          <t>Retest result</t>
        </is>
      </c>
      <c r="G1" s="5" t="inlineStr">
        <is>
          <t>Retest notes</t>
        </is>
      </c>
    </row>
    <row r="2">
      <c r="A2" s="16">
        <f>IF(Issues!D2="","",Issues!A2)</f>
        <v/>
      </c>
      <c r="B2" s="16">
        <f>IF(Issues!D2="","",Issues!B2&amp;IF(Issues!C2&lt;&gt;""," · "&amp;Issues!C2,"")&amp;IF(Issues!J2&lt;&gt;""," · "&amp;Issues!J2,""))</f>
        <v/>
      </c>
      <c r="C2" s="16">
        <f>IF(Issues!D2="","",Issues!E2)</f>
        <v/>
      </c>
      <c r="D2" s="10" t="n"/>
      <c r="E2" s="17" t="n"/>
      <c r="F2" s="10" t="n"/>
      <c r="G2" s="10" t="n"/>
    </row>
    <row r="3">
      <c r="A3" s="16">
        <f>IF(Issues!D3="","",Issues!A3)</f>
        <v/>
      </c>
      <c r="B3" s="16">
        <f>IF(Issues!D3="","",Issues!B3&amp;IF(Issues!C3&lt;&gt;""," · "&amp;Issues!C3,"")&amp;IF(Issues!J3&lt;&gt;""," · "&amp;Issues!J3,""))</f>
        <v/>
      </c>
      <c r="C3" s="16">
        <f>IF(Issues!D3="","",Issues!E3)</f>
        <v/>
      </c>
      <c r="D3" s="10" t="n"/>
      <c r="E3" s="17" t="n"/>
      <c r="F3" s="10" t="n"/>
      <c r="G3" s="10" t="n"/>
    </row>
    <row r="4">
      <c r="A4" s="16">
        <f>IF(Issues!D4="","",Issues!A4)</f>
        <v/>
      </c>
      <c r="B4" s="16">
        <f>IF(Issues!D4="","",Issues!B4&amp;IF(Issues!C4&lt;&gt;""," · "&amp;Issues!C4,"")&amp;IF(Issues!J4&lt;&gt;""," · "&amp;Issues!J4,""))</f>
        <v/>
      </c>
      <c r="C4" s="16">
        <f>IF(Issues!D4="","",Issues!E4)</f>
        <v/>
      </c>
      <c r="D4" s="10" t="n"/>
      <c r="E4" s="17" t="n"/>
      <c r="F4" s="10" t="n"/>
      <c r="G4" s="10" t="n"/>
    </row>
    <row r="5">
      <c r="A5" s="16">
        <f>IF(Issues!D5="","",Issues!A5)</f>
        <v/>
      </c>
      <c r="B5" s="16">
        <f>IF(Issues!D5="","",Issues!B5&amp;IF(Issues!C5&lt;&gt;""," · "&amp;Issues!C5,"")&amp;IF(Issues!J5&lt;&gt;""," · "&amp;Issues!J5,""))</f>
        <v/>
      </c>
      <c r="C5" s="16">
        <f>IF(Issues!D5="","",Issues!E5)</f>
        <v/>
      </c>
      <c r="D5" s="10" t="n"/>
      <c r="E5" s="17" t="n"/>
      <c r="F5" s="10" t="n"/>
      <c r="G5" s="10" t="n"/>
    </row>
    <row r="6">
      <c r="A6" s="16">
        <f>IF(Issues!D6="","",Issues!A6)</f>
        <v/>
      </c>
      <c r="B6" s="16">
        <f>IF(Issues!D6="","",Issues!B6&amp;IF(Issues!C6&lt;&gt;""," · "&amp;Issues!C6,"")&amp;IF(Issues!J6&lt;&gt;""," · "&amp;Issues!J6,""))</f>
        <v/>
      </c>
      <c r="C6" s="16">
        <f>IF(Issues!D6="","",Issues!E6)</f>
        <v/>
      </c>
      <c r="D6" s="10" t="n"/>
      <c r="E6" s="17" t="n"/>
      <c r="F6" s="10" t="n"/>
      <c r="G6" s="10" t="n"/>
    </row>
    <row r="7">
      <c r="A7" s="16">
        <f>IF(Issues!D7="","",Issues!A7)</f>
        <v/>
      </c>
      <c r="B7" s="16">
        <f>IF(Issues!D7="","",Issues!B7&amp;IF(Issues!C7&lt;&gt;""," · "&amp;Issues!C7,"")&amp;IF(Issues!J7&lt;&gt;""," · "&amp;Issues!J7,""))</f>
        <v/>
      </c>
      <c r="C7" s="16">
        <f>IF(Issues!D7="","",Issues!E7)</f>
        <v/>
      </c>
      <c r="D7" s="10" t="n"/>
      <c r="E7" s="17" t="n"/>
      <c r="F7" s="10" t="n"/>
      <c r="G7" s="10" t="n"/>
    </row>
    <row r="8">
      <c r="A8" s="16">
        <f>IF(Issues!D8="","",Issues!A8)</f>
        <v/>
      </c>
      <c r="B8" s="16">
        <f>IF(Issues!D8="","",Issues!B8&amp;IF(Issues!C8&lt;&gt;""," · "&amp;Issues!C8,"")&amp;IF(Issues!J8&lt;&gt;""," · "&amp;Issues!J8,""))</f>
        <v/>
      </c>
      <c r="C8" s="16">
        <f>IF(Issues!D8="","",Issues!E8)</f>
        <v/>
      </c>
      <c r="D8" s="10" t="n"/>
      <c r="E8" s="17" t="n"/>
      <c r="F8" s="10" t="n"/>
      <c r="G8" s="10" t="n"/>
    </row>
    <row r="9">
      <c r="A9" s="16">
        <f>IF(Issues!D9="","",Issues!A9)</f>
        <v/>
      </c>
      <c r="B9" s="16">
        <f>IF(Issues!D9="","",Issues!B9&amp;IF(Issues!C9&lt;&gt;""," · "&amp;Issues!C9,"")&amp;IF(Issues!J9&lt;&gt;""," · "&amp;Issues!J9,""))</f>
        <v/>
      </c>
      <c r="C9" s="16">
        <f>IF(Issues!D9="","",Issues!E9)</f>
        <v/>
      </c>
      <c r="D9" s="10" t="n"/>
      <c r="E9" s="17" t="n"/>
      <c r="F9" s="10" t="n"/>
      <c r="G9" s="10" t="n"/>
    </row>
    <row r="10">
      <c r="A10" s="16">
        <f>IF(Issues!D10="","",Issues!A10)</f>
        <v/>
      </c>
      <c r="B10" s="16">
        <f>IF(Issues!D10="","",Issues!B10&amp;IF(Issues!C10&lt;&gt;""," · "&amp;Issues!C10,"")&amp;IF(Issues!J10&lt;&gt;""," · "&amp;Issues!J10,""))</f>
        <v/>
      </c>
      <c r="C10" s="16">
        <f>IF(Issues!D10="","",Issues!E10)</f>
        <v/>
      </c>
      <c r="D10" s="10" t="n"/>
      <c r="E10" s="17" t="n"/>
      <c r="F10" s="10" t="n"/>
      <c r="G10" s="10" t="n"/>
    </row>
    <row r="11">
      <c r="A11" s="16">
        <f>IF(Issues!D11="","",Issues!A11)</f>
        <v/>
      </c>
      <c r="B11" s="16">
        <f>IF(Issues!D11="","",Issues!B11&amp;IF(Issues!C11&lt;&gt;""," · "&amp;Issues!C11,"")&amp;IF(Issues!J11&lt;&gt;""," · "&amp;Issues!J11,""))</f>
        <v/>
      </c>
      <c r="C11" s="16">
        <f>IF(Issues!D11="","",Issues!E11)</f>
        <v/>
      </c>
      <c r="D11" s="10" t="n"/>
      <c r="E11" s="17" t="n"/>
      <c r="F11" s="10" t="n"/>
      <c r="G11" s="10" t="n"/>
    </row>
    <row r="12">
      <c r="A12" s="16">
        <f>IF(Issues!D12="","",Issues!A12)</f>
        <v/>
      </c>
      <c r="B12" s="16">
        <f>IF(Issues!D12="","",Issues!B12&amp;IF(Issues!C12&lt;&gt;""," · "&amp;Issues!C12,"")&amp;IF(Issues!J12&lt;&gt;""," · "&amp;Issues!J12,""))</f>
        <v/>
      </c>
      <c r="C12" s="16">
        <f>IF(Issues!D12="","",Issues!E12)</f>
        <v/>
      </c>
      <c r="D12" s="10" t="n"/>
      <c r="E12" s="17" t="n"/>
      <c r="F12" s="10" t="n"/>
      <c r="G12" s="10" t="n"/>
    </row>
    <row r="13">
      <c r="A13" s="16">
        <f>IF(Issues!D13="","",Issues!A13)</f>
        <v/>
      </c>
      <c r="B13" s="16">
        <f>IF(Issues!D13="","",Issues!B13&amp;IF(Issues!C13&lt;&gt;""," · "&amp;Issues!C13,"")&amp;IF(Issues!J13&lt;&gt;""," · "&amp;Issues!J13,""))</f>
        <v/>
      </c>
      <c r="C13" s="16">
        <f>IF(Issues!D13="","",Issues!E13)</f>
        <v/>
      </c>
      <c r="D13" s="10" t="n"/>
      <c r="E13" s="17" t="n"/>
      <c r="F13" s="10" t="n"/>
      <c r="G13" s="10" t="n"/>
    </row>
    <row r="14">
      <c r="A14" s="16">
        <f>IF(Issues!D14="","",Issues!A14)</f>
        <v/>
      </c>
      <c r="B14" s="16">
        <f>IF(Issues!D14="","",Issues!B14&amp;IF(Issues!C14&lt;&gt;""," · "&amp;Issues!C14,"")&amp;IF(Issues!J14&lt;&gt;""," · "&amp;Issues!J14,""))</f>
        <v/>
      </c>
      <c r="C14" s="16">
        <f>IF(Issues!D14="","",Issues!E14)</f>
        <v/>
      </c>
      <c r="D14" s="10" t="n"/>
      <c r="E14" s="17" t="n"/>
      <c r="F14" s="10" t="n"/>
      <c r="G14" s="10" t="n"/>
    </row>
    <row r="15">
      <c r="A15" s="16">
        <f>IF(Issues!D15="","",Issues!A15)</f>
        <v/>
      </c>
      <c r="B15" s="16">
        <f>IF(Issues!D15="","",Issues!B15&amp;IF(Issues!C15&lt;&gt;""," · "&amp;Issues!C15,"")&amp;IF(Issues!J15&lt;&gt;""," · "&amp;Issues!J15,""))</f>
        <v/>
      </c>
      <c r="C15" s="16">
        <f>IF(Issues!D15="","",Issues!E15)</f>
        <v/>
      </c>
      <c r="D15" s="10" t="n"/>
      <c r="E15" s="17" t="n"/>
      <c r="F15" s="10" t="n"/>
      <c r="G15" s="10" t="n"/>
    </row>
    <row r="16">
      <c r="A16" s="16">
        <f>IF(Issues!D16="","",Issues!A16)</f>
        <v/>
      </c>
      <c r="B16" s="16">
        <f>IF(Issues!D16="","",Issues!B16&amp;IF(Issues!C16&lt;&gt;""," · "&amp;Issues!C16,"")&amp;IF(Issues!J16&lt;&gt;""," · "&amp;Issues!J16,""))</f>
        <v/>
      </c>
      <c r="C16" s="16">
        <f>IF(Issues!D16="","",Issues!E16)</f>
        <v/>
      </c>
      <c r="D16" s="10" t="n"/>
      <c r="E16" s="17" t="n"/>
      <c r="F16" s="10" t="n"/>
      <c r="G16" s="10" t="n"/>
    </row>
    <row r="17">
      <c r="A17" s="16">
        <f>IF(Issues!D17="","",Issues!A17)</f>
        <v/>
      </c>
      <c r="B17" s="16">
        <f>IF(Issues!D17="","",Issues!B17&amp;IF(Issues!C17&lt;&gt;""," · "&amp;Issues!C17,"")&amp;IF(Issues!J17&lt;&gt;""," · "&amp;Issues!J17,""))</f>
        <v/>
      </c>
      <c r="C17" s="16">
        <f>IF(Issues!D17="","",Issues!E17)</f>
        <v/>
      </c>
      <c r="D17" s="10" t="n"/>
      <c r="E17" s="17" t="n"/>
      <c r="F17" s="10" t="n"/>
      <c r="G17" s="10" t="n"/>
    </row>
    <row r="18">
      <c r="A18" s="16">
        <f>IF(Issues!D18="","",Issues!A18)</f>
        <v/>
      </c>
      <c r="B18" s="16">
        <f>IF(Issues!D18="","",Issues!B18&amp;IF(Issues!C18&lt;&gt;""," · "&amp;Issues!C18,"")&amp;IF(Issues!J18&lt;&gt;""," · "&amp;Issues!J18,""))</f>
        <v/>
      </c>
      <c r="C18" s="16">
        <f>IF(Issues!D18="","",Issues!E18)</f>
        <v/>
      </c>
      <c r="D18" s="10" t="n"/>
      <c r="E18" s="17" t="n"/>
      <c r="F18" s="10" t="n"/>
      <c r="G18" s="10" t="n"/>
    </row>
    <row r="19">
      <c r="A19" s="16">
        <f>IF(Issues!D19="","",Issues!A19)</f>
        <v/>
      </c>
      <c r="B19" s="16">
        <f>IF(Issues!D19="","",Issues!B19&amp;IF(Issues!C19&lt;&gt;""," · "&amp;Issues!C19,"")&amp;IF(Issues!J19&lt;&gt;""," · "&amp;Issues!J19,""))</f>
        <v/>
      </c>
      <c r="C19" s="16">
        <f>IF(Issues!D19="","",Issues!E19)</f>
        <v/>
      </c>
      <c r="D19" s="10" t="n"/>
      <c r="E19" s="17" t="n"/>
      <c r="F19" s="10" t="n"/>
      <c r="G19" s="10" t="n"/>
    </row>
    <row r="20">
      <c r="A20" s="16">
        <f>IF(Issues!D20="","",Issues!A20)</f>
        <v/>
      </c>
      <c r="B20" s="16">
        <f>IF(Issues!D20="","",Issues!B20&amp;IF(Issues!C20&lt;&gt;""," · "&amp;Issues!C20,"")&amp;IF(Issues!J20&lt;&gt;""," · "&amp;Issues!J20,""))</f>
        <v/>
      </c>
      <c r="C20" s="16">
        <f>IF(Issues!D20="","",Issues!E20)</f>
        <v/>
      </c>
      <c r="D20" s="10" t="n"/>
      <c r="E20" s="17" t="n"/>
      <c r="F20" s="10" t="n"/>
      <c r="G20" s="10" t="n"/>
    </row>
    <row r="21">
      <c r="A21" s="16">
        <f>IF(Issues!D21="","",Issues!A21)</f>
        <v/>
      </c>
      <c r="B21" s="16">
        <f>IF(Issues!D21="","",Issues!B21&amp;IF(Issues!C21&lt;&gt;""," · "&amp;Issues!C21,"")&amp;IF(Issues!J21&lt;&gt;""," · "&amp;Issues!J21,""))</f>
        <v/>
      </c>
      <c r="C21" s="16">
        <f>IF(Issues!D21="","",Issues!E21)</f>
        <v/>
      </c>
      <c r="D21" s="10" t="n"/>
      <c r="E21" s="17" t="n"/>
      <c r="F21" s="10" t="n"/>
      <c r="G21" s="10" t="n"/>
    </row>
    <row r="22">
      <c r="A22" s="16">
        <f>IF(Issues!D22="","",Issues!A22)</f>
        <v/>
      </c>
      <c r="B22" s="16">
        <f>IF(Issues!D22="","",Issues!B22&amp;IF(Issues!C22&lt;&gt;""," · "&amp;Issues!C22,"")&amp;IF(Issues!J22&lt;&gt;""," · "&amp;Issues!J22,""))</f>
        <v/>
      </c>
      <c r="C22" s="16">
        <f>IF(Issues!D22="","",Issues!E22)</f>
        <v/>
      </c>
      <c r="D22" s="10" t="n"/>
      <c r="E22" s="17" t="n"/>
      <c r="F22" s="10" t="n"/>
      <c r="G22" s="10" t="n"/>
    </row>
    <row r="23">
      <c r="A23" s="16">
        <f>IF(Issues!D23="","",Issues!A23)</f>
        <v/>
      </c>
      <c r="B23" s="16">
        <f>IF(Issues!D23="","",Issues!B23&amp;IF(Issues!C23&lt;&gt;""," · "&amp;Issues!C23,"")&amp;IF(Issues!J23&lt;&gt;""," · "&amp;Issues!J23,""))</f>
        <v/>
      </c>
      <c r="C23" s="16">
        <f>IF(Issues!D23="","",Issues!E23)</f>
        <v/>
      </c>
      <c r="D23" s="10" t="n"/>
      <c r="E23" s="17" t="n"/>
      <c r="F23" s="10" t="n"/>
      <c r="G23" s="10" t="n"/>
    </row>
    <row r="24">
      <c r="A24" s="16">
        <f>IF(Issues!D24="","",Issues!A24)</f>
        <v/>
      </c>
      <c r="B24" s="16">
        <f>IF(Issues!D24="","",Issues!B24&amp;IF(Issues!C24&lt;&gt;""," · "&amp;Issues!C24,"")&amp;IF(Issues!J24&lt;&gt;""," · "&amp;Issues!J24,""))</f>
        <v/>
      </c>
      <c r="C24" s="16">
        <f>IF(Issues!D24="","",Issues!E24)</f>
        <v/>
      </c>
      <c r="D24" s="10" t="n"/>
      <c r="E24" s="17" t="n"/>
      <c r="F24" s="10" t="n"/>
      <c r="G24" s="10" t="n"/>
    </row>
    <row r="25">
      <c r="A25" s="16">
        <f>IF(Issues!D25="","",Issues!A25)</f>
        <v/>
      </c>
      <c r="B25" s="16">
        <f>IF(Issues!D25="","",Issues!B25&amp;IF(Issues!C25&lt;&gt;""," · "&amp;Issues!C25,"")&amp;IF(Issues!J25&lt;&gt;""," · "&amp;Issues!J25,""))</f>
        <v/>
      </c>
      <c r="C25" s="16">
        <f>IF(Issues!D25="","",Issues!E25)</f>
        <v/>
      </c>
      <c r="D25" s="10" t="n"/>
      <c r="E25" s="17" t="n"/>
      <c r="F25" s="10" t="n"/>
      <c r="G25" s="10" t="n"/>
    </row>
    <row r="26">
      <c r="A26" s="16">
        <f>IF(Issues!D26="","",Issues!A26)</f>
        <v/>
      </c>
      <c r="B26" s="16">
        <f>IF(Issues!D26="","",Issues!B26&amp;IF(Issues!C26&lt;&gt;""," · "&amp;Issues!C26,"")&amp;IF(Issues!J26&lt;&gt;""," · "&amp;Issues!J26,""))</f>
        <v/>
      </c>
      <c r="C26" s="16">
        <f>IF(Issues!D26="","",Issues!E26)</f>
        <v/>
      </c>
      <c r="D26" s="10" t="n"/>
      <c r="E26" s="17" t="n"/>
      <c r="F26" s="10" t="n"/>
      <c r="G26" s="10" t="n"/>
    </row>
    <row r="27">
      <c r="A27" s="16">
        <f>IF(Issues!D27="","",Issues!A27)</f>
        <v/>
      </c>
      <c r="B27" s="16">
        <f>IF(Issues!D27="","",Issues!B27&amp;IF(Issues!C27&lt;&gt;""," · "&amp;Issues!C27,"")&amp;IF(Issues!J27&lt;&gt;""," · "&amp;Issues!J27,""))</f>
        <v/>
      </c>
      <c r="C27" s="16">
        <f>IF(Issues!D27="","",Issues!E27)</f>
        <v/>
      </c>
      <c r="D27" s="10" t="n"/>
      <c r="E27" s="17" t="n"/>
      <c r="F27" s="10" t="n"/>
      <c r="G27" s="10" t="n"/>
    </row>
    <row r="28">
      <c r="A28" s="16">
        <f>IF(Issues!D28="","",Issues!A28)</f>
        <v/>
      </c>
      <c r="B28" s="16">
        <f>IF(Issues!D28="","",Issues!B28&amp;IF(Issues!C28&lt;&gt;""," · "&amp;Issues!C28,"")&amp;IF(Issues!J28&lt;&gt;""," · "&amp;Issues!J28,""))</f>
        <v/>
      </c>
      <c r="C28" s="16">
        <f>IF(Issues!D28="","",Issues!E28)</f>
        <v/>
      </c>
      <c r="D28" s="10" t="n"/>
      <c r="E28" s="17" t="n"/>
      <c r="F28" s="10" t="n"/>
      <c r="G28" s="10" t="n"/>
    </row>
    <row r="29">
      <c r="A29" s="16">
        <f>IF(Issues!D29="","",Issues!A29)</f>
        <v/>
      </c>
      <c r="B29" s="16">
        <f>IF(Issues!D29="","",Issues!B29&amp;IF(Issues!C29&lt;&gt;""," · "&amp;Issues!C29,"")&amp;IF(Issues!J29&lt;&gt;""," · "&amp;Issues!J29,""))</f>
        <v/>
      </c>
      <c r="C29" s="16">
        <f>IF(Issues!D29="","",Issues!E29)</f>
        <v/>
      </c>
      <c r="D29" s="10" t="n"/>
      <c r="E29" s="17" t="n"/>
      <c r="F29" s="10" t="n"/>
      <c r="G29" s="10" t="n"/>
    </row>
    <row r="30">
      <c r="A30" s="16">
        <f>IF(Issues!D30="","",Issues!A30)</f>
        <v/>
      </c>
      <c r="B30" s="16">
        <f>IF(Issues!D30="","",Issues!B30&amp;IF(Issues!C30&lt;&gt;""," · "&amp;Issues!C30,"")&amp;IF(Issues!J30&lt;&gt;""," · "&amp;Issues!J30,""))</f>
        <v/>
      </c>
      <c r="C30" s="16">
        <f>IF(Issues!D30="","",Issues!E30)</f>
        <v/>
      </c>
      <c r="D30" s="10" t="n"/>
      <c r="E30" s="17" t="n"/>
      <c r="F30" s="10" t="n"/>
      <c r="G30" s="10" t="n"/>
    </row>
    <row r="31">
      <c r="A31" s="16">
        <f>IF(Issues!D31="","",Issues!A31)</f>
        <v/>
      </c>
      <c r="B31" s="16">
        <f>IF(Issues!D31="","",Issues!B31&amp;IF(Issues!C31&lt;&gt;""," · "&amp;Issues!C31,"")&amp;IF(Issues!J31&lt;&gt;""," · "&amp;Issues!J31,""))</f>
        <v/>
      </c>
      <c r="C31" s="16">
        <f>IF(Issues!D31="","",Issues!E31)</f>
        <v/>
      </c>
      <c r="D31" s="10" t="n"/>
      <c r="E31" s="17" t="n"/>
      <c r="F31" s="10" t="n"/>
      <c r="G31" s="10" t="n"/>
    </row>
    <row r="33">
      <c r="A33" s="11" t="inlineStr">
        <is>
          <t>Rows appear here when a row on the Issues sheet has an issue text. “Checked by automated test only” means the app's end-to-end tests pass but no participant saw the fix: say so in the report.</t>
        </is>
      </c>
    </row>
  </sheetData>
  <conditionalFormatting sqref="C2:C31">
    <cfRule type="cellIs" priority="1" operator="equal" dxfId="1">
      <formula>"High"</formula>
    </cfRule>
    <cfRule type="cellIs" priority="2" operator="equal" dxfId="2">
      <formula>"Medium"</formula>
    </cfRule>
  </conditionalFormatting>
  <dataValidations count="1">
    <dataValidation sqref="F2:F31" showDropDown="0" showInputMessage="0" showErrorMessage="0" allowBlank="1" type="list">
      <formula1>"Retested with a user: fixed,Retested with a user: still a problem,Checked by automated test only,Not retested"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34" customWidth="1" min="3" max="3"/>
    <col width="10" customWidth="1" min="4" max="4"/>
    <col width="9" customWidth="1" min="5" max="5"/>
    <col width="9" customWidth="1" min="6" max="6"/>
    <col width="7" customWidth="1" min="7" max="7"/>
    <col width="10" customWidth="1" min="8" max="8"/>
    <col width="15" customWidth="1" min="9" max="9"/>
    <col width="10" customWidth="1" min="10" max="10"/>
    <col width="9" customWidth="1" min="11" max="11"/>
    <col width="10" customWidth="1" min="12" max="12"/>
    <col width="10" customWidth="1" min="13" max="13"/>
    <col width="12" customWidth="1" min="14" max="14"/>
    <col width="9" customWidth="1" min="15" max="15"/>
    <col width="9" customWidth="1" min="16" max="16"/>
    <col width="8" customWidth="1" min="17" max="17"/>
    <col width="9" customWidth="1" min="18" max="18"/>
    <col width="8" customWidth="1" min="19" max="19"/>
    <col width="12" customWidth="1" min="20" max="20"/>
    <col width="11" customWidth="1" min="21" max="21"/>
  </cols>
  <sheetData>
    <row r="1" ht="58" customHeight="1">
      <c r="A1" s="5" t="inlineStr">
        <is>
          <t>Task</t>
        </is>
      </c>
      <c r="B1" s="5" t="inlineStr">
        <is>
          <t>Role</t>
        </is>
      </c>
      <c r="C1" s="5" t="inlineStr">
        <is>
          <t>Task name</t>
        </is>
      </c>
      <c r="D1" s="5" t="inlineStr">
        <is>
          <t>N (attempts)</t>
        </is>
      </c>
      <c r="E1" s="5" t="inlineStr">
        <is>
          <t>Success</t>
        </is>
      </c>
      <c r="F1" s="5" t="inlineStr">
        <is>
          <t>Partial</t>
        </is>
      </c>
      <c r="G1" s="5" t="inlineStr">
        <is>
          <t>Fail</t>
        </is>
      </c>
      <c r="H1" s="5" t="inlineStr">
        <is>
          <t>Success rate</t>
        </is>
      </c>
      <c r="I1" s="5" t="inlineStr">
        <is>
          <t>Median time, Success only (s)</t>
        </is>
      </c>
      <c r="J1" s="5" t="inlineStr">
        <is>
          <t>Mean errors</t>
        </is>
      </c>
      <c r="K1" s="5" t="inlineStr">
        <is>
          <t>Mean SEQ</t>
        </is>
      </c>
      <c r="L1" s="5" t="inlineStr">
        <is>
          <t>Target success</t>
        </is>
      </c>
      <c r="M1" s="5" t="inlineStr">
        <is>
          <t>Target time (s)</t>
        </is>
      </c>
      <c r="N1" s="5" t="inlineStr">
        <is>
          <t>Target max mean errors</t>
        </is>
      </c>
      <c r="O1" s="5" t="inlineStr">
        <is>
          <t>Target SEQ</t>
        </is>
      </c>
      <c r="P1" s="5" t="inlineStr">
        <is>
          <t>Success OK?</t>
        </is>
      </c>
      <c r="Q1" s="5" t="inlineStr">
        <is>
          <t>Time OK?</t>
        </is>
      </c>
      <c r="R1" s="5" t="inlineStr">
        <is>
          <t>Errors OK?</t>
        </is>
      </c>
      <c r="S1" s="5" t="inlineStr">
        <is>
          <t>SEQ OK?</t>
        </is>
      </c>
      <c r="T1" s="5" t="inlineStr">
        <is>
          <t>Task result</t>
        </is>
      </c>
      <c r="U1" s="5" t="inlineStr">
        <is>
          <t>Attempts ≥ 5?</t>
        </is>
      </c>
    </row>
    <row r="2">
      <c r="A2" s="18" t="inlineStr">
        <is>
          <t>T1</t>
        </is>
      </c>
      <c r="B2" s="9" t="inlineStr">
        <is>
          <t>Customer</t>
        </is>
      </c>
      <c r="C2" s="16" t="inlineStr">
        <is>
          <t>Find a trusted plumber rated 4.5+</t>
        </is>
      </c>
      <c r="D2" s="9">
        <f>COUNTIFS('Task log'!$B$2:$B$301,A2,'Task log'!$C$2:$C$301,"&lt;&gt;")</f>
        <v/>
      </c>
      <c r="E2" s="9">
        <f>COUNTIFS('Task log'!$B$2:$B$301,A2,'Task log'!$C$2:$C$301,"Success")</f>
        <v/>
      </c>
      <c r="F2" s="9">
        <f>COUNTIFS('Task log'!$B$2:$B$301,A2,'Task log'!$C$2:$C$301,"Partial")</f>
        <v/>
      </c>
      <c r="G2" s="9">
        <f>COUNTIFS('Task log'!$B$2:$B$301,A2,'Task log'!$C$2:$C$301,"Fail")</f>
        <v/>
      </c>
      <c r="H2" s="19">
        <f>IF(D2=0,"",E2/D2)</f>
        <v/>
      </c>
      <c r="I2" s="20">
        <f t="array" ref="I2">IFERROR(MEDIAN(IF(('Task log'!$B$2:$B$301=A2)*('Task log'!$C$2:$C$301="Success")*('Task log'!$D$2:$D$301&lt;&gt;""),'Task log'!$D$2:$D$301)),"")</f>
        <v/>
      </c>
      <c r="J2" s="13">
        <f>IFERROR(AVERAGEIFS('Task log'!$E$2:$E$301,'Task log'!$B$2:$B$301,A2,'Task log'!$C$2:$C$301,"&lt;&gt;"),"")</f>
        <v/>
      </c>
      <c r="K2" s="13">
        <f>IFERROR(AVERAGEIFS('Task log'!$G$2:$G$301,'Task log'!$B$2:$B$301,A2,'Task log'!$C$2:$C$301,"&lt;&gt;"),"")</f>
        <v/>
      </c>
      <c r="L2" s="21" t="n">
        <v>0.8</v>
      </c>
      <c r="M2" s="22" t="n">
        <v>45</v>
      </c>
      <c r="N2" s="22" t="n">
        <v>0</v>
      </c>
      <c r="O2" s="22" t="n">
        <v>5.5</v>
      </c>
      <c r="P2" s="9">
        <f>IF(D2=0,"",IF(H2&gt;=L2,"Yes","No"))</f>
        <v/>
      </c>
      <c r="Q2" s="9">
        <f>IF(I2="","",IF(I2&lt;=M2,"Yes","No"))</f>
        <v/>
      </c>
      <c r="R2" s="9">
        <f>IF(J2="","",IF(J2&lt;=N2,"Yes","No"))</f>
        <v/>
      </c>
      <c r="S2" s="9">
        <f>IF(K2="","",IF(K2&gt;=O2,"Yes","No"))</f>
        <v/>
      </c>
      <c r="T2" s="18">
        <f>IF(D2=0,"",IF(COUNTIF(P2:S2,"No")&gt;0,"Fail",IF(COUNTIF(P2:S2,"Yes")=4,"Pass","Incomplete")))</f>
        <v/>
      </c>
      <c r="U2" s="9">
        <f>IF(D2=0,"",IF(D2&gt;=5,"Yes","Few"))</f>
        <v/>
      </c>
    </row>
    <row r="3">
      <c r="A3" s="6" t="inlineStr">
        <is>
          <t>T2</t>
        </is>
      </c>
      <c r="B3" s="12" t="inlineStr">
        <is>
          <t>Customer</t>
        </is>
      </c>
      <c r="C3" s="23" t="inlineStr">
        <is>
          <t>Price estimate and next free time</t>
        </is>
      </c>
      <c r="D3" s="12">
        <f>COUNTIFS('Task log'!$B$2:$B$301,A3,'Task log'!$C$2:$C$301,"&lt;&gt;")</f>
        <v/>
      </c>
      <c r="E3" s="12">
        <f>COUNTIFS('Task log'!$B$2:$B$301,A3,'Task log'!$C$2:$C$301,"Success")</f>
        <v/>
      </c>
      <c r="F3" s="12">
        <f>COUNTIFS('Task log'!$B$2:$B$301,A3,'Task log'!$C$2:$C$301,"Partial")</f>
        <v/>
      </c>
      <c r="G3" s="12">
        <f>COUNTIFS('Task log'!$B$2:$B$301,A3,'Task log'!$C$2:$C$301,"Fail")</f>
        <v/>
      </c>
      <c r="H3" s="24">
        <f>IF(D3=0,"",E3/D3)</f>
        <v/>
      </c>
      <c r="I3" s="25">
        <f t="array" ref="I3">IFERROR(MEDIAN(IF(('Task log'!$B$2:$B$301=A3)*('Task log'!$C$2:$C$301="Success")*('Task log'!$D$2:$D$301&lt;&gt;""),'Task log'!$D$2:$D$301)),"")</f>
        <v/>
      </c>
      <c r="J3" s="26">
        <f>IFERROR(AVERAGEIFS('Task log'!$E$2:$E$301,'Task log'!$B$2:$B$301,A3,'Task log'!$C$2:$C$301,"&lt;&gt;"),"")</f>
        <v/>
      </c>
      <c r="K3" s="26">
        <f>IFERROR(AVERAGEIFS('Task log'!$G$2:$G$301,'Task log'!$B$2:$B$301,A3,'Task log'!$C$2:$C$301,"&lt;&gt;"),"")</f>
        <v/>
      </c>
      <c r="L3" s="21" t="n">
        <v>0.8</v>
      </c>
      <c r="M3" s="22" t="n">
        <v>30</v>
      </c>
      <c r="N3" s="22" t="n">
        <v>2</v>
      </c>
      <c r="O3" s="22" t="n">
        <v>5.5</v>
      </c>
      <c r="P3" s="12">
        <f>IF(D3=0,"",IF(H3&gt;=L3,"Yes","No"))</f>
        <v/>
      </c>
      <c r="Q3" s="12">
        <f>IF(I3="","",IF(I3&lt;=M3,"Yes","No"))</f>
        <v/>
      </c>
      <c r="R3" s="12">
        <f>IF(J3="","",IF(J3&lt;=N3,"Yes","No"))</f>
        <v/>
      </c>
      <c r="S3" s="12">
        <f>IF(K3="","",IF(K3&gt;=O3,"Yes","No"))</f>
        <v/>
      </c>
      <c r="T3" s="6">
        <f>IF(D3=0,"",IF(COUNTIF(P3:S3,"No")&gt;0,"Fail",IF(COUNTIF(P3:S3,"Yes")=4,"Pass","Incomplete")))</f>
        <v/>
      </c>
      <c r="U3" s="12">
        <f>IF(D3=0,"",IF(D3&gt;=5,"Yes","Few"))</f>
        <v/>
      </c>
    </row>
    <row r="4">
      <c r="A4" s="18" t="inlineStr">
        <is>
          <t>T3</t>
        </is>
      </c>
      <c r="B4" s="9" t="inlineStr">
        <is>
          <t>Customer</t>
        </is>
      </c>
      <c r="C4" s="16" t="inlineStr">
        <is>
          <t>Book Nimal with a photo and a time</t>
        </is>
      </c>
      <c r="D4" s="9">
        <f>COUNTIFS('Task log'!$B$2:$B$301,A4,'Task log'!$C$2:$C$301,"&lt;&gt;")</f>
        <v/>
      </c>
      <c r="E4" s="9">
        <f>COUNTIFS('Task log'!$B$2:$B$301,A4,'Task log'!$C$2:$C$301,"Success")</f>
        <v/>
      </c>
      <c r="F4" s="9">
        <f>COUNTIFS('Task log'!$B$2:$B$301,A4,'Task log'!$C$2:$C$301,"Partial")</f>
        <v/>
      </c>
      <c r="G4" s="9">
        <f>COUNTIFS('Task log'!$B$2:$B$301,A4,'Task log'!$C$2:$C$301,"Fail")</f>
        <v/>
      </c>
      <c r="H4" s="19">
        <f>IF(D4=0,"",E4/D4)</f>
        <v/>
      </c>
      <c r="I4" s="20">
        <f t="array" ref="I4">IFERROR(MEDIAN(IF(('Task log'!$B$2:$B$301=A4)*('Task log'!$C$2:$C$301="Success")*('Task log'!$D$2:$D$301&lt;&gt;""),'Task log'!$D$2:$D$301)),"")</f>
        <v/>
      </c>
      <c r="J4" s="13">
        <f>IFERROR(AVERAGEIFS('Task log'!$E$2:$E$301,'Task log'!$B$2:$B$301,A4,'Task log'!$C$2:$C$301,"&lt;&gt;"),"")</f>
        <v/>
      </c>
      <c r="K4" s="13">
        <f>IFERROR(AVERAGEIFS('Task log'!$G$2:$G$301,'Task log'!$B$2:$B$301,A4,'Task log'!$C$2:$C$301,"&lt;&gt;"),"")</f>
        <v/>
      </c>
      <c r="L4" s="21" t="n">
        <v>0.8</v>
      </c>
      <c r="M4" s="22" t="n">
        <v>150</v>
      </c>
      <c r="N4" s="22" t="n">
        <v>2</v>
      </c>
      <c r="O4" s="22" t="n">
        <v>5.5</v>
      </c>
      <c r="P4" s="9">
        <f>IF(D4=0,"",IF(H4&gt;=L4,"Yes","No"))</f>
        <v/>
      </c>
      <c r="Q4" s="9">
        <f>IF(I4="","",IF(I4&lt;=M4,"Yes","No"))</f>
        <v/>
      </c>
      <c r="R4" s="9">
        <f>IF(J4="","",IF(J4&lt;=N4,"Yes","No"))</f>
        <v/>
      </c>
      <c r="S4" s="9">
        <f>IF(K4="","",IF(K4&gt;=O4,"Yes","No"))</f>
        <v/>
      </c>
      <c r="T4" s="18">
        <f>IF(D4=0,"",IF(COUNTIF(P4:S4,"No")&gt;0,"Fail",IF(COUNTIF(P4:S4,"Yes")=4,"Pass","Incomplete")))</f>
        <v/>
      </c>
      <c r="U4" s="9">
        <f>IF(D4=0,"",IF(D4&gt;=5,"Yes","Few"))</f>
        <v/>
      </c>
    </row>
    <row r="5">
      <c r="A5" s="6" t="inlineStr">
        <is>
          <t>T4</t>
        </is>
      </c>
      <c r="B5" s="12" t="inlineStr">
        <is>
          <t>Customer</t>
        </is>
      </c>
      <c r="C5" s="23" t="inlineStr">
        <is>
          <t>Ask about parking, check acceptance</t>
        </is>
      </c>
      <c r="D5" s="12">
        <f>COUNTIFS('Task log'!$B$2:$B$301,A5,'Task log'!$C$2:$C$301,"&lt;&gt;")</f>
        <v/>
      </c>
      <c r="E5" s="12">
        <f>COUNTIFS('Task log'!$B$2:$B$301,A5,'Task log'!$C$2:$C$301,"Success")</f>
        <v/>
      </c>
      <c r="F5" s="12">
        <f>COUNTIFS('Task log'!$B$2:$B$301,A5,'Task log'!$C$2:$C$301,"Partial")</f>
        <v/>
      </c>
      <c r="G5" s="12">
        <f>COUNTIFS('Task log'!$B$2:$B$301,A5,'Task log'!$C$2:$C$301,"Fail")</f>
        <v/>
      </c>
      <c r="H5" s="24">
        <f>IF(D5=0,"",E5/D5)</f>
        <v/>
      </c>
      <c r="I5" s="25">
        <f t="array" ref="I5">IFERROR(MEDIAN(IF(('Task log'!$B$2:$B$301=A5)*('Task log'!$C$2:$C$301="Success")*('Task log'!$D$2:$D$301&lt;&gt;""),'Task log'!$D$2:$D$301)),"")</f>
        <v/>
      </c>
      <c r="J5" s="26">
        <f>IFERROR(AVERAGEIFS('Task log'!$E$2:$E$301,'Task log'!$B$2:$B$301,A5,'Task log'!$C$2:$C$301,"&lt;&gt;"),"")</f>
        <v/>
      </c>
      <c r="K5" s="26">
        <f>IFERROR(AVERAGEIFS('Task log'!$G$2:$G$301,'Task log'!$B$2:$B$301,A5,'Task log'!$C$2:$C$301,"&lt;&gt;"),"")</f>
        <v/>
      </c>
      <c r="L5" s="21" t="n">
        <v>0.8</v>
      </c>
      <c r="M5" s="22" t="n">
        <v>60</v>
      </c>
      <c r="N5" s="22" t="n">
        <v>2</v>
      </c>
      <c r="O5" s="22" t="n">
        <v>5.5</v>
      </c>
      <c r="P5" s="12">
        <f>IF(D5=0,"",IF(H5&gt;=L5,"Yes","No"))</f>
        <v/>
      </c>
      <c r="Q5" s="12">
        <f>IF(I5="","",IF(I5&lt;=M5,"Yes","No"))</f>
        <v/>
      </c>
      <c r="R5" s="12">
        <f>IF(J5="","",IF(J5&lt;=N5,"Yes","No"))</f>
        <v/>
      </c>
      <c r="S5" s="12">
        <f>IF(K5="","",IF(K5&gt;=O5,"Yes","No"))</f>
        <v/>
      </c>
      <c r="T5" s="6">
        <f>IF(D5=0,"",IF(COUNTIF(P5:S5,"No")&gt;0,"Fail",IF(COUNTIF(P5:S5,"Yes")=4,"Pass","Incomplete")))</f>
        <v/>
      </c>
      <c r="U5" s="12">
        <f>IF(D5=0,"",IF(D5&gt;=5,"Yes","Few"))</f>
        <v/>
      </c>
    </row>
    <row r="6">
      <c r="A6" s="18" t="inlineStr">
        <is>
          <t>T5</t>
        </is>
      </c>
      <c r="B6" s="9" t="inlineStr">
        <is>
          <t>Customer</t>
        </is>
      </c>
      <c r="C6" s="16" t="inlineStr">
        <is>
          <t>Book the same plumber again</t>
        </is>
      </c>
      <c r="D6" s="9">
        <f>COUNTIFS('Task log'!$B$2:$B$301,A6,'Task log'!$C$2:$C$301,"&lt;&gt;")</f>
        <v/>
      </c>
      <c r="E6" s="9">
        <f>COUNTIFS('Task log'!$B$2:$B$301,A6,'Task log'!$C$2:$C$301,"Success")</f>
        <v/>
      </c>
      <c r="F6" s="9">
        <f>COUNTIFS('Task log'!$B$2:$B$301,A6,'Task log'!$C$2:$C$301,"Partial")</f>
        <v/>
      </c>
      <c r="G6" s="9">
        <f>COUNTIFS('Task log'!$B$2:$B$301,A6,'Task log'!$C$2:$C$301,"Fail")</f>
        <v/>
      </c>
      <c r="H6" s="19">
        <f>IF(D6=0,"",E6/D6)</f>
        <v/>
      </c>
      <c r="I6" s="20">
        <f t="array" ref="I6">IFERROR(MEDIAN(IF(('Task log'!$B$2:$B$301=A6)*('Task log'!$C$2:$C$301="Success")*('Task log'!$D$2:$D$301&lt;&gt;""),'Task log'!$D$2:$D$301)),"")</f>
        <v/>
      </c>
      <c r="J6" s="13">
        <f>IFERROR(AVERAGEIFS('Task log'!$E$2:$E$301,'Task log'!$B$2:$B$301,A6,'Task log'!$C$2:$C$301,"&lt;&gt;"),"")</f>
        <v/>
      </c>
      <c r="K6" s="13">
        <f>IFERROR(AVERAGEIFS('Task log'!$G$2:$G$301,'Task log'!$B$2:$B$301,A6,'Task log'!$C$2:$C$301,"&lt;&gt;"),"")</f>
        <v/>
      </c>
      <c r="L6" s="21" t="n">
        <v>0.8</v>
      </c>
      <c r="M6" s="22" t="n">
        <v>45</v>
      </c>
      <c r="N6" s="22" t="n">
        <v>2</v>
      </c>
      <c r="O6" s="22" t="n">
        <v>5.5</v>
      </c>
      <c r="P6" s="9">
        <f>IF(D6=0,"",IF(H6&gt;=L6,"Yes","No"))</f>
        <v/>
      </c>
      <c r="Q6" s="9">
        <f>IF(I6="","",IF(I6&lt;=M6,"Yes","No"))</f>
        <v/>
      </c>
      <c r="R6" s="9">
        <f>IF(J6="","",IF(J6&lt;=N6,"Yes","No"))</f>
        <v/>
      </c>
      <c r="S6" s="9">
        <f>IF(K6="","",IF(K6&gt;=O6,"Yes","No"))</f>
        <v/>
      </c>
      <c r="T6" s="18">
        <f>IF(D6=0,"",IF(COUNTIF(P6:S6,"No")&gt;0,"Fail",IF(COUNTIF(P6:S6,"Yes")=4,"Pass","Incomplete")))</f>
        <v/>
      </c>
      <c r="U6" s="9">
        <f>IF(D6=0,"",IF(D6&gt;=5,"Yes","Few"))</f>
        <v/>
      </c>
    </row>
    <row r="7">
      <c r="A7" s="6" t="inlineStr">
        <is>
          <t>T6</t>
        </is>
      </c>
      <c r="B7" s="12" t="inlineStr">
        <is>
          <t>Customer</t>
        </is>
      </c>
      <c r="C7" s="23" t="inlineStr">
        <is>
          <t>Report poor work, say what happens next</t>
        </is>
      </c>
      <c r="D7" s="12">
        <f>COUNTIFS('Task log'!$B$2:$B$301,A7,'Task log'!$C$2:$C$301,"&lt;&gt;")</f>
        <v/>
      </c>
      <c r="E7" s="12">
        <f>COUNTIFS('Task log'!$B$2:$B$301,A7,'Task log'!$C$2:$C$301,"Success")</f>
        <v/>
      </c>
      <c r="F7" s="12">
        <f>COUNTIFS('Task log'!$B$2:$B$301,A7,'Task log'!$C$2:$C$301,"Partial")</f>
        <v/>
      </c>
      <c r="G7" s="12">
        <f>COUNTIFS('Task log'!$B$2:$B$301,A7,'Task log'!$C$2:$C$301,"Fail")</f>
        <v/>
      </c>
      <c r="H7" s="24">
        <f>IF(D7=0,"",E7/D7)</f>
        <v/>
      </c>
      <c r="I7" s="25">
        <f t="array" ref="I7">IFERROR(MEDIAN(IF(('Task log'!$B$2:$B$301=A7)*('Task log'!$C$2:$C$301="Success")*('Task log'!$D$2:$D$301&lt;&gt;""),'Task log'!$D$2:$D$301)),"")</f>
        <v/>
      </c>
      <c r="J7" s="26">
        <f>IFERROR(AVERAGEIFS('Task log'!$E$2:$E$301,'Task log'!$B$2:$B$301,A7,'Task log'!$C$2:$C$301,"&lt;&gt;"),"")</f>
        <v/>
      </c>
      <c r="K7" s="26">
        <f>IFERROR(AVERAGEIFS('Task log'!$G$2:$G$301,'Task log'!$B$2:$B$301,A7,'Task log'!$C$2:$C$301,"&lt;&gt;"),"")</f>
        <v/>
      </c>
      <c r="L7" s="21" t="n">
        <v>0.8</v>
      </c>
      <c r="M7" s="22" t="n">
        <v>60</v>
      </c>
      <c r="N7" s="22" t="n">
        <v>2</v>
      </c>
      <c r="O7" s="22" t="n">
        <v>5.5</v>
      </c>
      <c r="P7" s="12">
        <f>IF(D7=0,"",IF(H7&gt;=L7,"Yes","No"))</f>
        <v/>
      </c>
      <c r="Q7" s="12">
        <f>IF(I7="","",IF(I7&lt;=M7,"Yes","No"))</f>
        <v/>
      </c>
      <c r="R7" s="12">
        <f>IF(J7="","",IF(J7&lt;=N7,"Yes","No"))</f>
        <v/>
      </c>
      <c r="S7" s="12">
        <f>IF(K7="","",IF(K7&gt;=O7,"Yes","No"))</f>
        <v/>
      </c>
      <c r="T7" s="6">
        <f>IF(D7=0,"",IF(COUNTIF(P7:S7,"No")&gt;0,"Fail",IF(COUNTIF(P7:S7,"Yes")=4,"Pass","Incomplete")))</f>
        <v/>
      </c>
      <c r="U7" s="12">
        <f>IF(D7=0,"",IF(D7&gt;=5,"Yes","Few"))</f>
        <v/>
      </c>
    </row>
    <row r="8">
      <c r="A8" s="18" t="inlineStr">
        <is>
          <t>T7</t>
        </is>
      </c>
      <c r="B8" s="9" t="inlineStr">
        <is>
          <t>Provider</t>
        </is>
      </c>
      <c r="C8" s="16" t="inlineStr">
        <is>
          <t>Open a request, check it, accept it</t>
        </is>
      </c>
      <c r="D8" s="9">
        <f>COUNTIFS('Task log'!$B$2:$B$301,A8,'Task log'!$C$2:$C$301,"&lt;&gt;")</f>
        <v/>
      </c>
      <c r="E8" s="9">
        <f>COUNTIFS('Task log'!$B$2:$B$301,A8,'Task log'!$C$2:$C$301,"Success")</f>
        <v/>
      </c>
      <c r="F8" s="9">
        <f>COUNTIFS('Task log'!$B$2:$B$301,A8,'Task log'!$C$2:$C$301,"Partial")</f>
        <v/>
      </c>
      <c r="G8" s="9">
        <f>COUNTIFS('Task log'!$B$2:$B$301,A8,'Task log'!$C$2:$C$301,"Fail")</f>
        <v/>
      </c>
      <c r="H8" s="19">
        <f>IF(D8=0,"",E8/D8)</f>
        <v/>
      </c>
      <c r="I8" s="20">
        <f t="array" ref="I8">IFERROR(MEDIAN(IF(('Task log'!$B$2:$B$301=A8)*('Task log'!$C$2:$C$301="Success")*('Task log'!$D$2:$D$301&lt;&gt;""),'Task log'!$D$2:$D$301)),"")</f>
        <v/>
      </c>
      <c r="J8" s="13">
        <f>IFERROR(AVERAGEIFS('Task log'!$E$2:$E$301,'Task log'!$B$2:$B$301,A8,'Task log'!$C$2:$C$301,"&lt;&gt;"),"")</f>
        <v/>
      </c>
      <c r="K8" s="13">
        <f>IFERROR(AVERAGEIFS('Task log'!$G$2:$G$301,'Task log'!$B$2:$B$301,A8,'Task log'!$C$2:$C$301,"&lt;&gt;"),"")</f>
        <v/>
      </c>
      <c r="L8" s="21" t="n">
        <v>0.8</v>
      </c>
      <c r="M8" s="22" t="n">
        <v>40</v>
      </c>
      <c r="N8" s="22" t="n">
        <v>2</v>
      </c>
      <c r="O8" s="22" t="n">
        <v>5.5</v>
      </c>
      <c r="P8" s="9">
        <f>IF(D8=0,"",IF(H8&gt;=L8,"Yes","No"))</f>
        <v/>
      </c>
      <c r="Q8" s="9">
        <f>IF(I8="","",IF(I8&lt;=M8,"Yes","No"))</f>
        <v/>
      </c>
      <c r="R8" s="9">
        <f>IF(J8="","",IF(J8&lt;=N8,"Yes","No"))</f>
        <v/>
      </c>
      <c r="S8" s="9">
        <f>IF(K8="","",IF(K8&gt;=O8,"Yes","No"))</f>
        <v/>
      </c>
      <c r="T8" s="18">
        <f>IF(D8=0,"",IF(COUNTIF(P8:S8,"No")&gt;0,"Fail",IF(COUNTIF(P8:S8,"Yes")=4,"Pass","Incomplete")))</f>
        <v/>
      </c>
      <c r="U8" s="9">
        <f>IF(D8=0,"",IF(D8&gt;=5,"Yes","Few"))</f>
        <v/>
      </c>
    </row>
    <row r="9">
      <c r="A9" s="6" t="inlineStr">
        <is>
          <t>T8</t>
        </is>
      </c>
      <c r="B9" s="12" t="inlineStr">
        <is>
          <t>Provider</t>
        </is>
      </c>
      <c r="C9" s="23" t="inlineStr">
        <is>
          <t>Block an afternoon</t>
        </is>
      </c>
      <c r="D9" s="12">
        <f>COUNTIFS('Task log'!$B$2:$B$301,A9,'Task log'!$C$2:$C$301,"&lt;&gt;")</f>
        <v/>
      </c>
      <c r="E9" s="12">
        <f>COUNTIFS('Task log'!$B$2:$B$301,A9,'Task log'!$C$2:$C$301,"Success")</f>
        <v/>
      </c>
      <c r="F9" s="12">
        <f>COUNTIFS('Task log'!$B$2:$B$301,A9,'Task log'!$C$2:$C$301,"Partial")</f>
        <v/>
      </c>
      <c r="G9" s="12">
        <f>COUNTIFS('Task log'!$B$2:$B$301,A9,'Task log'!$C$2:$C$301,"Fail")</f>
        <v/>
      </c>
      <c r="H9" s="24">
        <f>IF(D9=0,"",E9/D9)</f>
        <v/>
      </c>
      <c r="I9" s="25">
        <f t="array" ref="I9">IFERROR(MEDIAN(IF(('Task log'!$B$2:$B$301=A9)*('Task log'!$C$2:$C$301="Success")*('Task log'!$D$2:$D$301&lt;&gt;""),'Task log'!$D$2:$D$301)),"")</f>
        <v/>
      </c>
      <c r="J9" s="26">
        <f>IFERROR(AVERAGEIFS('Task log'!$E$2:$E$301,'Task log'!$B$2:$B$301,A9,'Task log'!$C$2:$C$301,"&lt;&gt;"),"")</f>
        <v/>
      </c>
      <c r="K9" s="26">
        <f>IFERROR(AVERAGEIFS('Task log'!$G$2:$G$301,'Task log'!$B$2:$B$301,A9,'Task log'!$C$2:$C$301,"&lt;&gt;"),"")</f>
        <v/>
      </c>
      <c r="L9" s="21" t="n">
        <v>0.8</v>
      </c>
      <c r="M9" s="22" t="n">
        <v>45</v>
      </c>
      <c r="N9" s="22" t="n">
        <v>2</v>
      </c>
      <c r="O9" s="22" t="n">
        <v>5.5</v>
      </c>
      <c r="P9" s="12">
        <f>IF(D9=0,"",IF(H9&gt;=L9,"Yes","No"))</f>
        <v/>
      </c>
      <c r="Q9" s="12">
        <f>IF(I9="","",IF(I9&lt;=M9,"Yes","No"))</f>
        <v/>
      </c>
      <c r="R9" s="12">
        <f>IF(J9="","",IF(J9&lt;=N9,"Yes","No"))</f>
        <v/>
      </c>
      <c r="S9" s="12">
        <f>IF(K9="","",IF(K9&gt;=O9,"Yes","No"))</f>
        <v/>
      </c>
      <c r="T9" s="6">
        <f>IF(D9=0,"",IF(COUNTIF(P9:S9,"No")&gt;0,"Fail",IF(COUNTIF(P9:S9,"Yes")=4,"Pass","Incomplete")))</f>
        <v/>
      </c>
      <c r="U9" s="12">
        <f>IF(D9=0,"",IF(D9&gt;=5,"Yes","Few"))</f>
        <v/>
      </c>
    </row>
    <row r="10">
      <c r="A10" s="18" t="inlineStr">
        <is>
          <t>T9</t>
        </is>
      </c>
      <c r="B10" s="9" t="inlineStr">
        <is>
          <t>Administrator</t>
        </is>
      </c>
      <c r="C10" s="16" t="inlineStr">
        <is>
          <t>Check documents and approve a provider</t>
        </is>
      </c>
      <c r="D10" s="9">
        <f>COUNTIFS('Task log'!$B$2:$B$301,A10,'Task log'!$C$2:$C$301,"&lt;&gt;")</f>
        <v/>
      </c>
      <c r="E10" s="9">
        <f>COUNTIFS('Task log'!$B$2:$B$301,A10,'Task log'!$C$2:$C$301,"Success")</f>
        <v/>
      </c>
      <c r="F10" s="9">
        <f>COUNTIFS('Task log'!$B$2:$B$301,A10,'Task log'!$C$2:$C$301,"Partial")</f>
        <v/>
      </c>
      <c r="G10" s="9">
        <f>COUNTIFS('Task log'!$B$2:$B$301,A10,'Task log'!$C$2:$C$301,"Fail")</f>
        <v/>
      </c>
      <c r="H10" s="19">
        <f>IF(D10=0,"",E10/D10)</f>
        <v/>
      </c>
      <c r="I10" s="20">
        <f t="array" ref="I10">IFERROR(MEDIAN(IF(('Task log'!$B$2:$B$301=A10)*('Task log'!$C$2:$C$301="Success")*('Task log'!$D$2:$D$301&lt;&gt;""),'Task log'!$D$2:$D$301)),"")</f>
        <v/>
      </c>
      <c r="J10" s="13">
        <f>IFERROR(AVERAGEIFS('Task log'!$E$2:$E$301,'Task log'!$B$2:$B$301,A10,'Task log'!$C$2:$C$301,"&lt;&gt;"),"")</f>
        <v/>
      </c>
      <c r="K10" s="13">
        <f>IFERROR(AVERAGEIFS('Task log'!$G$2:$G$301,'Task log'!$B$2:$B$301,A10,'Task log'!$C$2:$C$301,"&lt;&gt;"),"")</f>
        <v/>
      </c>
      <c r="L10" s="21" t="n">
        <v>0.8</v>
      </c>
      <c r="M10" s="22" t="n">
        <v>90</v>
      </c>
      <c r="N10" s="22" t="n">
        <v>2</v>
      </c>
      <c r="O10" s="22" t="n">
        <v>5.5</v>
      </c>
      <c r="P10" s="9">
        <f>IF(D10=0,"",IF(H10&gt;=L10,"Yes","No"))</f>
        <v/>
      </c>
      <c r="Q10" s="9">
        <f>IF(I10="","",IF(I10&lt;=M10,"Yes","No"))</f>
        <v/>
      </c>
      <c r="R10" s="9">
        <f>IF(J10="","",IF(J10&lt;=N10,"Yes","No"))</f>
        <v/>
      </c>
      <c r="S10" s="9">
        <f>IF(K10="","",IF(K10&gt;=O10,"Yes","No"))</f>
        <v/>
      </c>
      <c r="T10" s="18">
        <f>IF(D10=0,"",IF(COUNTIF(P10:S10,"No")&gt;0,"Fail",IF(COUNTIF(P10:S10,"Yes")=4,"Pass","Incomplete")))</f>
        <v/>
      </c>
      <c r="U10" s="9">
        <f>IF(D10=0,"",IF(D10&gt;=5,"Yes","Few"))</f>
        <v/>
      </c>
    </row>
    <row r="11">
      <c r="A11" s="6" t="inlineStr">
        <is>
          <t>T10</t>
        </is>
      </c>
      <c r="B11" s="12" t="inlineStr">
        <is>
          <t>Administrator</t>
        </is>
      </c>
      <c r="C11" s="23" t="inlineStr">
        <is>
          <t>Resolve a price complaint, read open count</t>
        </is>
      </c>
      <c r="D11" s="12">
        <f>COUNTIFS('Task log'!$B$2:$B$301,A11,'Task log'!$C$2:$C$301,"&lt;&gt;")</f>
        <v/>
      </c>
      <c r="E11" s="12">
        <f>COUNTIFS('Task log'!$B$2:$B$301,A11,'Task log'!$C$2:$C$301,"Success")</f>
        <v/>
      </c>
      <c r="F11" s="12">
        <f>COUNTIFS('Task log'!$B$2:$B$301,A11,'Task log'!$C$2:$C$301,"Partial")</f>
        <v/>
      </c>
      <c r="G11" s="12">
        <f>COUNTIFS('Task log'!$B$2:$B$301,A11,'Task log'!$C$2:$C$301,"Fail")</f>
        <v/>
      </c>
      <c r="H11" s="24">
        <f>IF(D11=0,"",E11/D11)</f>
        <v/>
      </c>
      <c r="I11" s="25">
        <f t="array" ref="I11">IFERROR(MEDIAN(IF(('Task log'!$B$2:$B$301=A11)*('Task log'!$C$2:$C$301="Success")*('Task log'!$D$2:$D$301&lt;&gt;""),'Task log'!$D$2:$D$301)),"")</f>
        <v/>
      </c>
      <c r="J11" s="26">
        <f>IFERROR(AVERAGEIFS('Task log'!$E$2:$E$301,'Task log'!$B$2:$B$301,A11,'Task log'!$C$2:$C$301,"&lt;&gt;"),"")</f>
        <v/>
      </c>
      <c r="K11" s="26">
        <f>IFERROR(AVERAGEIFS('Task log'!$G$2:$G$301,'Task log'!$B$2:$B$301,A11,'Task log'!$C$2:$C$301,"&lt;&gt;"),"")</f>
        <v/>
      </c>
      <c r="L11" s="21" t="n">
        <v>0.8</v>
      </c>
      <c r="M11" s="22" t="n">
        <v>90</v>
      </c>
      <c r="N11" s="22" t="n">
        <v>2</v>
      </c>
      <c r="O11" s="22" t="n">
        <v>5.5</v>
      </c>
      <c r="P11" s="12">
        <f>IF(D11=0,"",IF(H11&gt;=L11,"Yes","No"))</f>
        <v/>
      </c>
      <c r="Q11" s="12">
        <f>IF(I11="","",IF(I11&lt;=M11,"Yes","No"))</f>
        <v/>
      </c>
      <c r="R11" s="12">
        <f>IF(J11="","",IF(J11&lt;=N11,"Yes","No"))</f>
        <v/>
      </c>
      <c r="S11" s="12">
        <f>IF(K11="","",IF(K11&gt;=O11,"Yes","No"))</f>
        <v/>
      </c>
      <c r="T11" s="6">
        <f>IF(D11=0,"",IF(COUNTIF(P11:S11,"No")&gt;0,"Fail",IF(COUNTIF(P11:S11,"Yes")=4,"Pass","Incomplete")))</f>
        <v/>
      </c>
      <c r="U11" s="12">
        <f>IF(D11=0,"",IF(D11&gt;=5,"Yes","Few"))</f>
        <v/>
      </c>
    </row>
    <row r="12">
      <c r="A12" s="11" t="inlineStr">
        <is>
          <t>Targets (blue cells): M02 report section 6.4. T3 time ADJUSTED to 150 s (phone photo prompt and gallery). T1 allows 0 errors (0 wrong turns); other tasks at most 2.</t>
        </is>
      </c>
    </row>
    <row r="14">
      <c r="A14" s="14" t="inlineStr">
        <is>
          <t>Participants</t>
        </is>
      </c>
    </row>
    <row r="15">
      <c r="A15" s="11" t="inlineStr">
        <is>
          <t>Participants who gave consent (N)</t>
        </is>
      </c>
      <c r="D15" s="14">
        <f>SUMPRODUCT((Participants!A2:A11&lt;&gt;"")*(Participants!H2:H11="Yes"))</f>
        <v/>
      </c>
    </row>
    <row r="16">
      <c r="A16" s="11" t="inlineStr">
        <is>
          <t>Minimum required by the brief: 5</t>
        </is>
      </c>
      <c r="D16" s="14">
        <f>IF(D15&gt;=5,"Met","Not yet")</f>
        <v/>
      </c>
    </row>
    <row r="17">
      <c r="A17" s="11" t="inlineStr">
        <is>
          <t>Participants with at least one task logged</t>
        </is>
      </c>
      <c r="D17" s="14">
        <f>SUMPRODUCT(--(Participants!K2:K11&gt;0))</f>
        <v/>
      </c>
    </row>
    <row r="18">
      <c r="A18" s="11" t="inlineStr">
        <is>
          <t>Sessions recorded (with consent)</t>
        </is>
      </c>
      <c r="D18" s="14">
        <f>COUNTIFS(Participants!I2:I11,"Yes",Participants!H2:H11,"Yes")</f>
        <v/>
      </c>
    </row>
    <row r="20">
      <c r="A20" s="14" t="inlineStr">
        <is>
          <t>System Usability Scale</t>
        </is>
      </c>
    </row>
    <row r="21">
      <c r="A21" s="11" t="inlineStr">
        <is>
          <t>Mean SUS score</t>
        </is>
      </c>
      <c r="D21" s="15">
        <f>IFERROR(AVERAGE(SUS!M2:M11),"")</f>
        <v/>
      </c>
    </row>
    <row r="22">
      <c r="A22" s="11" t="inlineStr">
        <is>
          <t>Questionnaires with a score (n)</t>
        </is>
      </c>
      <c r="D22" s="14">
        <f>COUNT(SUS!M2:M11)</f>
        <v/>
      </c>
    </row>
    <row r="23">
      <c r="A23" s="11" t="inlineStr">
        <is>
          <t>Target: 68 (average)</t>
        </is>
      </c>
      <c r="D23" s="14">
        <f>IF(D21="","",IF(D21&gt;=68,"Met","Below target"))</f>
        <v/>
      </c>
    </row>
    <row r="25">
      <c r="A25" s="14" t="inlineStr">
        <is>
          <t>Issues found in the user sessions</t>
        </is>
      </c>
      <c r="C25" s="14" t="inlineStr">
        <is>
          <t>Logged</t>
        </is>
      </c>
      <c r="D25" s="14" t="inlineStr">
        <is>
          <t>Still open</t>
        </is>
      </c>
      <c r="E25" s="14" t="inlineStr">
        <is>
          <t>Fixed</t>
        </is>
      </c>
    </row>
    <row r="26">
      <c r="A26" s="11" t="inlineStr">
        <is>
          <t>High</t>
        </is>
      </c>
      <c r="C26" s="11">
        <f>COUNTIFS(Issues!$E$2:$E$31,"High")</f>
        <v/>
      </c>
      <c r="D26" s="11">
        <f>COUNTIFS(Issues!$E$2:$E$31,"High",Issues!$I$2:$I$31,"Open")</f>
        <v/>
      </c>
      <c r="E26" s="11">
        <f>COUNTIFS(Issues!$E$2:$E$31,"High",Issues!$I$2:$I$31,"Fixed")</f>
        <v/>
      </c>
    </row>
    <row r="27">
      <c r="A27" s="11" t="inlineStr">
        <is>
          <t>Medium</t>
        </is>
      </c>
      <c r="C27" s="11">
        <f>COUNTIFS(Issues!$E$2:$E$31,"Medium")</f>
        <v/>
      </c>
      <c r="D27" s="11">
        <f>COUNTIFS(Issues!$E$2:$E$31,"Medium",Issues!$I$2:$I$31,"Open")</f>
        <v/>
      </c>
      <c r="E27" s="11">
        <f>COUNTIFS(Issues!$E$2:$E$31,"Medium",Issues!$I$2:$I$31,"Fixed")</f>
        <v/>
      </c>
    </row>
    <row r="28">
      <c r="A28" s="11" t="inlineStr">
        <is>
          <t>Low</t>
        </is>
      </c>
      <c r="C28" s="11">
        <f>COUNTIFS(Issues!$E$2:$E$31,"Low")</f>
        <v/>
      </c>
      <c r="D28" s="11">
        <f>COUNTIFS(Issues!$E$2:$E$31,"Low",Issues!$I$2:$I$31,"Open")</f>
        <v/>
      </c>
      <c r="E28" s="11">
        <f>COUNTIFS(Issues!$E$2:$E$31,"Low",Issues!$I$2:$I$31,"Fixed")</f>
        <v/>
      </c>
    </row>
    <row r="29">
      <c r="A29" s="11" t="inlineStr">
        <is>
          <t>No open High issue (M02 threshold)</t>
        </is>
      </c>
      <c r="D29" s="14">
        <f>IF(C26=0,"None logged",IF(D26=0,"Met","Not met"))</f>
        <v/>
      </c>
    </row>
    <row r="31">
      <c r="A31" s="14" t="inlineStr">
        <is>
          <t>Task results</t>
        </is>
      </c>
    </row>
    <row r="32">
      <c r="A32" s="11" t="inlineStr">
        <is>
          <t>Tasks with a Pass result</t>
        </is>
      </c>
      <c r="D32" s="14">
        <f>COUNTIF(T2:T11,"Pass")</f>
        <v/>
      </c>
    </row>
    <row r="33">
      <c r="A33" s="11" t="inlineStr">
        <is>
          <t>Tasks attempted at least once</t>
        </is>
      </c>
      <c r="D33" s="14">
        <f>SUMPRODUCT(--(D2:D11&gt;0))</f>
        <v/>
      </c>
    </row>
  </sheetData>
  <conditionalFormatting sqref="P2:P11">
    <cfRule type="cellIs" priority="1" operator="equal" dxfId="0">
      <formula>"Yes"</formula>
    </cfRule>
    <cfRule type="cellIs" priority="2" operator="equal" dxfId="1">
      <formula>"No"</formula>
    </cfRule>
  </conditionalFormatting>
  <conditionalFormatting sqref="Q2:Q11">
    <cfRule type="cellIs" priority="3" operator="equal" dxfId="0">
      <formula>"Yes"</formula>
    </cfRule>
    <cfRule type="cellIs" priority="4" operator="equal" dxfId="1">
      <formula>"No"</formula>
    </cfRule>
  </conditionalFormatting>
  <conditionalFormatting sqref="R2:R11">
    <cfRule type="cellIs" priority="5" operator="equal" dxfId="0">
      <formula>"Yes"</formula>
    </cfRule>
    <cfRule type="cellIs" priority="6" operator="equal" dxfId="1">
      <formula>"No"</formula>
    </cfRule>
  </conditionalFormatting>
  <conditionalFormatting sqref="S2:S11">
    <cfRule type="cellIs" priority="7" operator="equal" dxfId="0">
      <formula>"Yes"</formula>
    </cfRule>
    <cfRule type="cellIs" priority="8" operator="equal" dxfId="1">
      <formula>"No"</formula>
    </cfRule>
  </conditionalFormatting>
  <conditionalFormatting sqref="T2:T11">
    <cfRule type="cellIs" priority="9" operator="equal" dxfId="0">
      <formula>"Pass"</formula>
    </cfRule>
    <cfRule type="cellIs" priority="10" operator="equal" dxfId="1">
      <formula>"Fail"</formula>
    </cfRule>
  </conditionalFormatting>
  <conditionalFormatting sqref="U2:U11">
    <cfRule type="cellIs" priority="11" operator="equal" dxfId="2">
      <formula>"Few"</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1"/>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9" customWidth="1" min="3" max="3"/>
    <col width="12" customWidth="1" min="4" max="4"/>
    <col width="13" customWidth="1" min="5" max="5"/>
    <col width="12" customWidth="1" min="6" max="6"/>
    <col width="11" customWidth="1" min="7" max="7"/>
    <col width="11" customWidth="1" min="8" max="8"/>
    <col width="12" customWidth="1" min="9" max="9"/>
    <col width="13" customWidth="1" min="10" max="10"/>
    <col width="12" customWidth="1" min="11" max="11"/>
    <col width="11" customWidth="1" min="12" max="12"/>
    <col width="12" customWidth="1" min="13" max="13"/>
    <col width="11" customWidth="1" min="14" max="14"/>
    <col width="10" customWidth="1" min="15" max="15"/>
    <col width="10" customWidth="1" min="16" max="16"/>
  </cols>
  <sheetData>
    <row r="1">
      <c r="A1" s="27" t="inlineStr">
        <is>
          <t>Before / after: Round 1 against the retest</t>
        </is>
      </c>
    </row>
    <row r="3" ht="28" customHeight="1">
      <c r="A3" s="3" t="inlineStr">
        <is>
          <t>Before = Round 1: all participants, the app exactly as first tested. These columns are calculated from the Summary sheet.</t>
        </is>
      </c>
    </row>
    <row r="4" ht="28" customHeight="1">
      <c r="A4" s="3" t="inlineStr">
        <is>
          <t>After = the retest: the same tasks, run again after the fixes in the Fix log, on the screens that changed. Type these numbers only from real retest sessions (new participants or the same ones: say which in the report).</t>
        </is>
      </c>
    </row>
    <row r="5" ht="28" customHeight="1">
      <c r="A5" s="3" t="inlineStr">
        <is>
          <t>If no retest with participants was run, leave the After columns empty. Do not estimate them. In the report, state which fixes were checked only by the automated end-to-end tests (Fix log: “Checked by automated test only”).</t>
        </is>
      </c>
    </row>
    <row r="6" ht="28" customHeight="1">
      <c r="A6" s="3" t="inlineStr">
        <is>
          <t>Change columns are calculated only when both Before and After exist. A positive change in success rate or SEQ and a negative change in time or errors are improvements.</t>
        </is>
      </c>
    </row>
    <row r="8" ht="46" customHeight="1">
      <c r="A8" s="5" t="inlineStr">
        <is>
          <t>Task</t>
        </is>
      </c>
      <c r="B8" s="5" t="inlineStr">
        <is>
          <t>Task name</t>
        </is>
      </c>
      <c r="C8" s="5" t="inlineStr">
        <is>
          <t>Before: N</t>
        </is>
      </c>
      <c r="D8" s="5" t="inlineStr">
        <is>
          <t>Before: success rate</t>
        </is>
      </c>
      <c r="E8" s="5" t="inlineStr">
        <is>
          <t>Before: median time (s)</t>
        </is>
      </c>
      <c r="F8" s="5" t="inlineStr">
        <is>
          <t>Before: mean errors</t>
        </is>
      </c>
      <c r="G8" s="5" t="inlineStr">
        <is>
          <t>Before: mean SEQ</t>
        </is>
      </c>
      <c r="H8" s="5" t="inlineStr">
        <is>
          <t>After: N (retest)</t>
        </is>
      </c>
      <c r="I8" s="5" t="inlineStr">
        <is>
          <t>After: success rate</t>
        </is>
      </c>
      <c r="J8" s="5" t="inlineStr">
        <is>
          <t>After: median time (s)</t>
        </is>
      </c>
      <c r="K8" s="5" t="inlineStr">
        <is>
          <t>After: mean errors</t>
        </is>
      </c>
      <c r="L8" s="5" t="inlineStr">
        <is>
          <t>After: mean SEQ</t>
        </is>
      </c>
      <c r="M8" s="5" t="inlineStr">
        <is>
          <t>Change: success rate</t>
        </is>
      </c>
      <c r="N8" s="5" t="inlineStr">
        <is>
          <t>Change: time (s)</t>
        </is>
      </c>
      <c r="O8" s="5" t="inlineStr">
        <is>
          <t>Change: errors</t>
        </is>
      </c>
      <c r="P8" s="5" t="inlineStr">
        <is>
          <t>Change: SEQ</t>
        </is>
      </c>
    </row>
    <row r="9">
      <c r="A9" s="9" t="inlineStr">
        <is>
          <t>T1</t>
        </is>
      </c>
      <c r="B9" s="16" t="inlineStr">
        <is>
          <t>Find a trusted plumber rated 4.5+</t>
        </is>
      </c>
      <c r="C9" s="9">
        <f>Summary!D2</f>
        <v/>
      </c>
      <c r="D9" s="19">
        <f>Summary!H2</f>
        <v/>
      </c>
      <c r="E9" s="20">
        <f>Summary!I2</f>
        <v/>
      </c>
      <c r="F9" s="13">
        <f>Summary!J2</f>
        <v/>
      </c>
      <c r="G9" s="13">
        <f>Summary!K2</f>
        <v/>
      </c>
      <c r="H9" s="7" t="n"/>
      <c r="I9" s="28" t="n"/>
      <c r="J9" s="7" t="n"/>
      <c r="K9" s="7" t="n"/>
      <c r="L9" s="7" t="n"/>
      <c r="M9" s="19">
        <f>IF(OR(D9="",I9=""),"",I9-D9)</f>
        <v/>
      </c>
      <c r="N9" s="20">
        <f>IF(OR(E9="",J9=""),"",J9-E9)</f>
        <v/>
      </c>
      <c r="O9" s="13">
        <f>IF(OR(F9="",K9=""),"",K9-F9)</f>
        <v/>
      </c>
      <c r="P9" s="13">
        <f>IF(OR(G9="",L9=""),"",L9-G9)</f>
        <v/>
      </c>
    </row>
    <row r="10">
      <c r="A10" s="9" t="inlineStr">
        <is>
          <t>T2</t>
        </is>
      </c>
      <c r="B10" s="16" t="inlineStr">
        <is>
          <t>Price estimate and next free time</t>
        </is>
      </c>
      <c r="C10" s="9">
        <f>Summary!D3</f>
        <v/>
      </c>
      <c r="D10" s="19">
        <f>Summary!H3</f>
        <v/>
      </c>
      <c r="E10" s="20">
        <f>Summary!I3</f>
        <v/>
      </c>
      <c r="F10" s="13">
        <f>Summary!J3</f>
        <v/>
      </c>
      <c r="G10" s="13">
        <f>Summary!K3</f>
        <v/>
      </c>
      <c r="H10" s="7" t="n"/>
      <c r="I10" s="28" t="n"/>
      <c r="J10" s="7" t="n"/>
      <c r="K10" s="7" t="n"/>
      <c r="L10" s="7" t="n"/>
      <c r="M10" s="19">
        <f>IF(OR(D10="",I10=""),"",I10-D10)</f>
        <v/>
      </c>
      <c r="N10" s="20">
        <f>IF(OR(E10="",J10=""),"",J10-E10)</f>
        <v/>
      </c>
      <c r="O10" s="13">
        <f>IF(OR(F10="",K10=""),"",K10-F10)</f>
        <v/>
      </c>
      <c r="P10" s="13">
        <f>IF(OR(G10="",L10=""),"",L10-G10)</f>
        <v/>
      </c>
    </row>
    <row r="11">
      <c r="A11" s="9" t="inlineStr">
        <is>
          <t>T3</t>
        </is>
      </c>
      <c r="B11" s="16" t="inlineStr">
        <is>
          <t>Book Nimal with a photo and a time</t>
        </is>
      </c>
      <c r="C11" s="9">
        <f>Summary!D4</f>
        <v/>
      </c>
      <c r="D11" s="19">
        <f>Summary!H4</f>
        <v/>
      </c>
      <c r="E11" s="20">
        <f>Summary!I4</f>
        <v/>
      </c>
      <c r="F11" s="13">
        <f>Summary!J4</f>
        <v/>
      </c>
      <c r="G11" s="13">
        <f>Summary!K4</f>
        <v/>
      </c>
      <c r="H11" s="7" t="n"/>
      <c r="I11" s="28" t="n"/>
      <c r="J11" s="7" t="n"/>
      <c r="K11" s="7" t="n"/>
      <c r="L11" s="7" t="n"/>
      <c r="M11" s="19">
        <f>IF(OR(D11="",I11=""),"",I11-D11)</f>
        <v/>
      </c>
      <c r="N11" s="20">
        <f>IF(OR(E11="",J11=""),"",J11-E11)</f>
        <v/>
      </c>
      <c r="O11" s="13">
        <f>IF(OR(F11="",K11=""),"",K11-F11)</f>
        <v/>
      </c>
      <c r="P11" s="13">
        <f>IF(OR(G11="",L11=""),"",L11-G11)</f>
        <v/>
      </c>
    </row>
    <row r="12">
      <c r="A12" s="9" t="inlineStr">
        <is>
          <t>T4</t>
        </is>
      </c>
      <c r="B12" s="16" t="inlineStr">
        <is>
          <t>Ask about parking, check acceptance</t>
        </is>
      </c>
      <c r="C12" s="9">
        <f>Summary!D5</f>
        <v/>
      </c>
      <c r="D12" s="19">
        <f>Summary!H5</f>
        <v/>
      </c>
      <c r="E12" s="20">
        <f>Summary!I5</f>
        <v/>
      </c>
      <c r="F12" s="13">
        <f>Summary!J5</f>
        <v/>
      </c>
      <c r="G12" s="13">
        <f>Summary!K5</f>
        <v/>
      </c>
      <c r="H12" s="7" t="n"/>
      <c r="I12" s="28" t="n"/>
      <c r="J12" s="7" t="n"/>
      <c r="K12" s="7" t="n"/>
      <c r="L12" s="7" t="n"/>
      <c r="M12" s="19">
        <f>IF(OR(D12="",I12=""),"",I12-D12)</f>
        <v/>
      </c>
      <c r="N12" s="20">
        <f>IF(OR(E12="",J12=""),"",J12-E12)</f>
        <v/>
      </c>
      <c r="O12" s="13">
        <f>IF(OR(F12="",K12=""),"",K12-F12)</f>
        <v/>
      </c>
      <c r="P12" s="13">
        <f>IF(OR(G12="",L12=""),"",L12-G12)</f>
        <v/>
      </c>
    </row>
    <row r="13">
      <c r="A13" s="9" t="inlineStr">
        <is>
          <t>T5</t>
        </is>
      </c>
      <c r="B13" s="16" t="inlineStr">
        <is>
          <t>Book the same plumber again</t>
        </is>
      </c>
      <c r="C13" s="9">
        <f>Summary!D6</f>
        <v/>
      </c>
      <c r="D13" s="19">
        <f>Summary!H6</f>
        <v/>
      </c>
      <c r="E13" s="20">
        <f>Summary!I6</f>
        <v/>
      </c>
      <c r="F13" s="13">
        <f>Summary!J6</f>
        <v/>
      </c>
      <c r="G13" s="13">
        <f>Summary!K6</f>
        <v/>
      </c>
      <c r="H13" s="7" t="n"/>
      <c r="I13" s="28" t="n"/>
      <c r="J13" s="7" t="n"/>
      <c r="K13" s="7" t="n"/>
      <c r="L13" s="7" t="n"/>
      <c r="M13" s="19">
        <f>IF(OR(D13="",I13=""),"",I13-D13)</f>
        <v/>
      </c>
      <c r="N13" s="20">
        <f>IF(OR(E13="",J13=""),"",J13-E13)</f>
        <v/>
      </c>
      <c r="O13" s="13">
        <f>IF(OR(F13="",K13=""),"",K13-F13)</f>
        <v/>
      </c>
      <c r="P13" s="13">
        <f>IF(OR(G13="",L13=""),"",L13-G13)</f>
        <v/>
      </c>
    </row>
    <row r="14">
      <c r="A14" s="9" t="inlineStr">
        <is>
          <t>T6</t>
        </is>
      </c>
      <c r="B14" s="16" t="inlineStr">
        <is>
          <t>Report poor work, say what happens next</t>
        </is>
      </c>
      <c r="C14" s="9">
        <f>Summary!D7</f>
        <v/>
      </c>
      <c r="D14" s="19">
        <f>Summary!H7</f>
        <v/>
      </c>
      <c r="E14" s="20">
        <f>Summary!I7</f>
        <v/>
      </c>
      <c r="F14" s="13">
        <f>Summary!J7</f>
        <v/>
      </c>
      <c r="G14" s="13">
        <f>Summary!K7</f>
        <v/>
      </c>
      <c r="H14" s="7" t="n"/>
      <c r="I14" s="28" t="n"/>
      <c r="J14" s="7" t="n"/>
      <c r="K14" s="7" t="n"/>
      <c r="L14" s="7" t="n"/>
      <c r="M14" s="19">
        <f>IF(OR(D14="",I14=""),"",I14-D14)</f>
        <v/>
      </c>
      <c r="N14" s="20">
        <f>IF(OR(E14="",J14=""),"",J14-E14)</f>
        <v/>
      </c>
      <c r="O14" s="13">
        <f>IF(OR(F14="",K14=""),"",K14-F14)</f>
        <v/>
      </c>
      <c r="P14" s="13">
        <f>IF(OR(G14="",L14=""),"",L14-G14)</f>
        <v/>
      </c>
    </row>
    <row r="15">
      <c r="A15" s="9" t="inlineStr">
        <is>
          <t>T7</t>
        </is>
      </c>
      <c r="B15" s="16" t="inlineStr">
        <is>
          <t>Open a request, check it, accept it</t>
        </is>
      </c>
      <c r="C15" s="9">
        <f>Summary!D8</f>
        <v/>
      </c>
      <c r="D15" s="19">
        <f>Summary!H8</f>
        <v/>
      </c>
      <c r="E15" s="20">
        <f>Summary!I8</f>
        <v/>
      </c>
      <c r="F15" s="13">
        <f>Summary!J8</f>
        <v/>
      </c>
      <c r="G15" s="13">
        <f>Summary!K8</f>
        <v/>
      </c>
      <c r="H15" s="7" t="n"/>
      <c r="I15" s="28" t="n"/>
      <c r="J15" s="7" t="n"/>
      <c r="K15" s="7" t="n"/>
      <c r="L15" s="7" t="n"/>
      <c r="M15" s="19">
        <f>IF(OR(D15="",I15=""),"",I15-D15)</f>
        <v/>
      </c>
      <c r="N15" s="20">
        <f>IF(OR(E15="",J15=""),"",J15-E15)</f>
        <v/>
      </c>
      <c r="O15" s="13">
        <f>IF(OR(F15="",K15=""),"",K15-F15)</f>
        <v/>
      </c>
      <c r="P15" s="13">
        <f>IF(OR(G15="",L15=""),"",L15-G15)</f>
        <v/>
      </c>
    </row>
    <row r="16">
      <c r="A16" s="9" t="inlineStr">
        <is>
          <t>T8</t>
        </is>
      </c>
      <c r="B16" s="16" t="inlineStr">
        <is>
          <t>Block an afternoon</t>
        </is>
      </c>
      <c r="C16" s="9">
        <f>Summary!D9</f>
        <v/>
      </c>
      <c r="D16" s="19">
        <f>Summary!H9</f>
        <v/>
      </c>
      <c r="E16" s="20">
        <f>Summary!I9</f>
        <v/>
      </c>
      <c r="F16" s="13">
        <f>Summary!J9</f>
        <v/>
      </c>
      <c r="G16" s="13">
        <f>Summary!K9</f>
        <v/>
      </c>
      <c r="H16" s="7" t="n"/>
      <c r="I16" s="28" t="n"/>
      <c r="J16" s="7" t="n"/>
      <c r="K16" s="7" t="n"/>
      <c r="L16" s="7" t="n"/>
      <c r="M16" s="19">
        <f>IF(OR(D16="",I16=""),"",I16-D16)</f>
        <v/>
      </c>
      <c r="N16" s="20">
        <f>IF(OR(E16="",J16=""),"",J16-E16)</f>
        <v/>
      </c>
      <c r="O16" s="13">
        <f>IF(OR(F16="",K16=""),"",K16-F16)</f>
        <v/>
      </c>
      <c r="P16" s="13">
        <f>IF(OR(G16="",L16=""),"",L16-G16)</f>
        <v/>
      </c>
    </row>
    <row r="17">
      <c r="A17" s="9" t="inlineStr">
        <is>
          <t>T9</t>
        </is>
      </c>
      <c r="B17" s="16" t="inlineStr">
        <is>
          <t>Check documents and approve a provider</t>
        </is>
      </c>
      <c r="C17" s="9">
        <f>Summary!D10</f>
        <v/>
      </c>
      <c r="D17" s="19">
        <f>Summary!H10</f>
        <v/>
      </c>
      <c r="E17" s="20">
        <f>Summary!I10</f>
        <v/>
      </c>
      <c r="F17" s="13">
        <f>Summary!J10</f>
        <v/>
      </c>
      <c r="G17" s="13">
        <f>Summary!K10</f>
        <v/>
      </c>
      <c r="H17" s="7" t="n"/>
      <c r="I17" s="28" t="n"/>
      <c r="J17" s="7" t="n"/>
      <c r="K17" s="7" t="n"/>
      <c r="L17" s="7" t="n"/>
      <c r="M17" s="19">
        <f>IF(OR(D17="",I17=""),"",I17-D17)</f>
        <v/>
      </c>
      <c r="N17" s="20">
        <f>IF(OR(E17="",J17=""),"",J17-E17)</f>
        <v/>
      </c>
      <c r="O17" s="13">
        <f>IF(OR(F17="",K17=""),"",K17-F17)</f>
        <v/>
      </c>
      <c r="P17" s="13">
        <f>IF(OR(G17="",L17=""),"",L17-G17)</f>
        <v/>
      </c>
    </row>
    <row r="18">
      <c r="A18" s="9" t="inlineStr">
        <is>
          <t>T10</t>
        </is>
      </c>
      <c r="B18" s="16" t="inlineStr">
        <is>
          <t>Resolve a price complaint, read open count</t>
        </is>
      </c>
      <c r="C18" s="9">
        <f>Summary!D11</f>
        <v/>
      </c>
      <c r="D18" s="19">
        <f>Summary!H11</f>
        <v/>
      </c>
      <c r="E18" s="20">
        <f>Summary!I11</f>
        <v/>
      </c>
      <c r="F18" s="13">
        <f>Summary!J11</f>
        <v/>
      </c>
      <c r="G18" s="13">
        <f>Summary!K11</f>
        <v/>
      </c>
      <c r="H18" s="7" t="n"/>
      <c r="I18" s="28" t="n"/>
      <c r="J18" s="7" t="n"/>
      <c r="K18" s="7" t="n"/>
      <c r="L18" s="7" t="n"/>
      <c r="M18" s="19">
        <f>IF(OR(D18="",I18=""),"",I18-D18)</f>
        <v/>
      </c>
      <c r="N18" s="20">
        <f>IF(OR(E18="",J18=""),"",J18-E18)</f>
        <v/>
      </c>
      <c r="O18" s="13">
        <f>IF(OR(F18="",K18=""),"",K18-F18)</f>
        <v/>
      </c>
      <c r="P18" s="13">
        <f>IF(OR(G18="",L18=""),"",L18-G18)</f>
        <v/>
      </c>
    </row>
    <row r="20">
      <c r="A20" s="14" t="inlineStr">
        <is>
          <t>SUS (mean)</t>
        </is>
      </c>
      <c r="D20" s="14" t="inlineStr">
        <is>
          <t>Before</t>
        </is>
      </c>
      <c r="I20" s="14" t="inlineStr">
        <is>
          <t>After (retest)</t>
        </is>
      </c>
      <c r="M20" s="14" t="inlineStr">
        <is>
          <t>Change</t>
        </is>
      </c>
    </row>
    <row r="21">
      <c r="D21" s="15">
        <f>Summary!D21</f>
        <v/>
      </c>
      <c r="I21" s="29" t="n"/>
      <c r="M21" s="15">
        <f>IF(OR(D21="",I21=""),"",I21-D21)</f>
        <v/>
      </c>
    </row>
  </sheetData>
  <mergeCells count="4">
    <mergeCell ref="A6:P6"/>
    <mergeCell ref="A5:P5"/>
    <mergeCell ref="A4:P4"/>
    <mergeCell ref="A3:P3"/>
  </mergeCells>
  <dataValidations count="1">
    <dataValidation sqref="I9:I18" showDropDown="0" showInputMessage="0" showErrorMessage="0" allowBlank="1" type="decimal" operator="between">
      <formula1>0</formula1>
      <formula2>1</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s="14" t="inlineStr">
        <is>
          <t>Screens</t>
        </is>
      </c>
    </row>
    <row r="2">
      <c r="A2" t="inlineStr">
        <is>
          <t>C1 Home and search</t>
        </is>
      </c>
    </row>
    <row r="3">
      <c r="A3" t="inlineStr">
        <is>
          <t>C2 Provider results</t>
        </is>
      </c>
    </row>
    <row r="4">
      <c r="A4" t="inlineStr">
        <is>
          <t>C3 Provider profile</t>
        </is>
      </c>
    </row>
    <row r="5">
      <c r="A5" t="inlineStr">
        <is>
          <t>C4 Describe the job</t>
        </is>
      </c>
    </row>
    <row r="6">
      <c r="A6" t="inlineStr">
        <is>
          <t>C5 Pick a time</t>
        </is>
      </c>
    </row>
    <row r="7">
      <c r="A7" t="inlineStr">
        <is>
          <t>C6 Booking status</t>
        </is>
      </c>
    </row>
    <row r="8">
      <c r="A8" t="inlineStr">
        <is>
          <t>C7 Chat</t>
        </is>
      </c>
    </row>
    <row r="9">
      <c r="A9" t="inlineStr">
        <is>
          <t>C8 My bookings</t>
        </is>
      </c>
    </row>
    <row r="10">
      <c r="A10" t="inlineStr">
        <is>
          <t>C9 Rate or report</t>
        </is>
      </c>
    </row>
    <row r="11">
      <c r="A11" t="inlineStr">
        <is>
          <t>P1 Requests</t>
        </is>
      </c>
    </row>
    <row r="12">
      <c r="A12" t="inlineStr">
        <is>
          <t>P2 Request details</t>
        </is>
      </c>
    </row>
    <row r="13">
      <c r="A13" t="inlineStr">
        <is>
          <t>P3 Availability calendar</t>
        </is>
      </c>
    </row>
    <row r="14">
      <c r="A14" t="inlineStr">
        <is>
          <t>P4 Profile and documents</t>
        </is>
      </c>
    </row>
    <row r="15">
      <c r="A15" t="inlineStr">
        <is>
          <t>P5 History</t>
        </is>
      </c>
    </row>
    <row r="16">
      <c r="A16" t="inlineStr">
        <is>
          <t>A1 Dashboard</t>
        </is>
      </c>
    </row>
    <row r="17">
      <c r="A17" t="inlineStr">
        <is>
          <t>A2 Provider verification</t>
        </is>
      </c>
    </row>
    <row r="18">
      <c r="A18" t="inlineStr">
        <is>
          <t>A3 Complaints</t>
        </is>
      </c>
    </row>
    <row r="19">
      <c r="A19" t="inlineStr">
        <is>
          <t>Login / Register</t>
        </is>
      </c>
    </row>
    <row r="20">
      <c r="A20" t="inlineStr">
        <is>
          <t>Notifications</t>
        </is>
      </c>
    </row>
    <row r="21">
      <c r="A21" t="inlineStr">
        <is>
          <t>Whole 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2026-10-05T23:24:52Z</dcterms:created>
  <dcterms:modified xmlns:dcterms="http://purl.org/dc/terms/" xmlns:xsi="http://www.w3.org/2001/XMLSchema-instance" xsi:type="dcterms:W3CDTF">2026-10-05T23:24:52Z</dcterms:modified>
</cp:coreProperties>
</file>